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roode\Desktop\gestionfacture\"/>
    </mc:Choice>
  </mc:AlternateContent>
  <xr:revisionPtr revIDLastSave="0" documentId="8_{07A24766-66A8-4674-8B35-B163CF72418C}" xr6:coauthVersionLast="47" xr6:coauthVersionMax="47" xr10:uidLastSave="{00000000-0000-0000-0000-000000000000}"/>
  <bookViews>
    <workbookView xWindow="-108" yWindow="-108" windowWidth="23256" windowHeight="12456" firstSheet="2" activeTab="2" xr2:uid="{00000000-000D-0000-FFFF-FFFF00000000}"/>
  </bookViews>
  <sheets>
    <sheet name="FACTURE" sheetId="2" r:id="rId1"/>
    <sheet name="CALCUL" sheetId="3" r:id="rId2"/>
    <sheet name="FICHE" sheetId="4" r:id="rId3"/>
    <sheet name="ATT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83" i="3" l="1"/>
  <c r="F72" i="3"/>
  <c r="F71" i="3" s="1"/>
  <c r="F55" i="3"/>
  <c r="G55" i="3" s="1"/>
  <c r="F56" i="3" s="1"/>
  <c r="F38" i="3"/>
  <c r="G38" i="3" s="1"/>
  <c r="F39" i="3" s="1"/>
  <c r="F21" i="3"/>
  <c r="F20" i="3" s="1"/>
  <c r="C15" i="3"/>
  <c r="F4" i="3"/>
  <c r="E84" i="3"/>
  <c r="E83" i="3"/>
  <c r="E82" i="3"/>
  <c r="E81" i="3"/>
  <c r="E80" i="3"/>
  <c r="E79" i="3"/>
  <c r="E67" i="3"/>
  <c r="C66" i="3"/>
  <c r="E66" i="3" s="1"/>
  <c r="E65" i="3"/>
  <c r="E64" i="3"/>
  <c r="E63" i="3"/>
  <c r="E62" i="3"/>
  <c r="E50" i="3"/>
  <c r="C49" i="3"/>
  <c r="E49" i="3" s="1"/>
  <c r="E48" i="3"/>
  <c r="E47" i="3"/>
  <c r="E46" i="3"/>
  <c r="E45" i="3"/>
  <c r="E33" i="3"/>
  <c r="C32" i="3"/>
  <c r="E32" i="3" s="1"/>
  <c r="E31" i="3"/>
  <c r="E30" i="3"/>
  <c r="E29" i="3"/>
  <c r="E28" i="3"/>
  <c r="E34" i="3" s="1"/>
  <c r="G21" i="3"/>
  <c r="F22" i="3" s="1"/>
  <c r="E16" i="3"/>
  <c r="E15" i="3"/>
  <c r="E14" i="3"/>
  <c r="E13" i="3"/>
  <c r="E12" i="3"/>
  <c r="E11" i="3"/>
  <c r="F3" i="3"/>
  <c r="K2" i="3" l="1"/>
  <c r="F33" i="3"/>
  <c r="F37" i="3"/>
  <c r="F54" i="3"/>
  <c r="E85" i="3"/>
  <c r="F83" i="3" s="1"/>
  <c r="G33" i="3"/>
  <c r="H33" i="3" s="1"/>
  <c r="F80" i="3"/>
  <c r="F82" i="3"/>
  <c r="F45" i="3"/>
  <c r="F29" i="3"/>
  <c r="G29" i="3" s="1"/>
  <c r="H29" i="3" s="1"/>
  <c r="F81" i="3"/>
  <c r="F30" i="3"/>
  <c r="G30" i="3" s="1"/>
  <c r="H30" i="3" s="1"/>
  <c r="F47" i="3"/>
  <c r="G47" i="3" s="1"/>
  <c r="H47" i="3" s="1"/>
  <c r="F64" i="3"/>
  <c r="G64" i="3" s="1"/>
  <c r="H64" i="3" s="1"/>
  <c r="F31" i="3"/>
  <c r="G31" i="3" s="1"/>
  <c r="H31" i="3" s="1"/>
  <c r="F48" i="3"/>
  <c r="G48" i="3" s="1"/>
  <c r="H48" i="3" s="1"/>
  <c r="F32" i="3"/>
  <c r="G32" i="3" s="1"/>
  <c r="H32" i="3" s="1"/>
  <c r="F49" i="3"/>
  <c r="G49" i="3" s="1"/>
  <c r="H49" i="3" s="1"/>
  <c r="F66" i="3"/>
  <c r="G66" i="3" s="1"/>
  <c r="H66" i="3" s="1"/>
  <c r="F84" i="3"/>
  <c r="E17" i="3"/>
  <c r="F28" i="3"/>
  <c r="G72" i="3"/>
  <c r="F73" i="3" s="1"/>
  <c r="E51" i="3"/>
  <c r="F50" i="3" s="1"/>
  <c r="G50" i="3" s="1"/>
  <c r="H50" i="3" s="1"/>
  <c r="E68" i="3"/>
  <c r="F62" i="3" s="1"/>
  <c r="G4" i="3"/>
  <c r="F5" i="3" s="1"/>
  <c r="F79" i="3"/>
  <c r="F46" i="3" l="1"/>
  <c r="G46" i="3" s="1"/>
  <c r="H46" i="3" s="1"/>
  <c r="F65" i="3"/>
  <c r="G65" i="3" s="1"/>
  <c r="H65" i="3" s="1"/>
  <c r="G84" i="3"/>
  <c r="H84" i="3" s="1"/>
  <c r="F13" i="3"/>
  <c r="G13" i="3" s="1"/>
  <c r="H13" i="3" s="1"/>
  <c r="F11" i="3"/>
  <c r="G62" i="3"/>
  <c r="F85" i="3"/>
  <c r="G79" i="3"/>
  <c r="F63" i="3"/>
  <c r="G63" i="3" s="1"/>
  <c r="H63" i="3" s="1"/>
  <c r="F67" i="3"/>
  <c r="G67" i="3" s="1"/>
  <c r="H67" i="3" s="1"/>
  <c r="G28" i="3"/>
  <c r="F34" i="3"/>
  <c r="G45" i="3"/>
  <c r="F51" i="3"/>
  <c r="F12" i="3"/>
  <c r="G12" i="3" s="1"/>
  <c r="H12" i="3" s="1"/>
  <c r="F15" i="3"/>
  <c r="G15" i="3" s="1"/>
  <c r="H15" i="3" s="1"/>
  <c r="K4" i="3" s="1"/>
  <c r="F14" i="3"/>
  <c r="G14" i="3" s="1"/>
  <c r="H14" i="3" s="1"/>
  <c r="K3" i="3" s="1"/>
  <c r="G80" i="3"/>
  <c r="H80" i="3" s="1"/>
  <c r="G82" i="3"/>
  <c r="H82" i="3" s="1"/>
  <c r="G83" i="3"/>
  <c r="H83" i="3" s="1"/>
  <c r="G81" i="3"/>
  <c r="H81" i="3" s="1"/>
  <c r="F16" i="3"/>
  <c r="G16" i="3" s="1"/>
  <c r="H16" i="3" s="1"/>
  <c r="G85" i="3" l="1"/>
  <c r="H79" i="3"/>
  <c r="H85" i="3" s="1"/>
  <c r="G68" i="3"/>
  <c r="H62" i="3"/>
  <c r="H68" i="3" s="1"/>
  <c r="G51" i="3"/>
  <c r="H45" i="3"/>
  <c r="H51" i="3" s="1"/>
  <c r="F68" i="3"/>
  <c r="F17" i="3"/>
  <c r="G11" i="3"/>
  <c r="H28" i="3"/>
  <c r="H34" i="3" s="1"/>
  <c r="G34" i="3"/>
  <c r="G17" i="3" l="1"/>
  <c r="H11" i="3"/>
  <c r="H17" i="3" s="1"/>
  <c r="E19" i="2" l="1"/>
  <c r="E20" i="2"/>
  <c r="E21" i="2"/>
  <c r="E22" i="2"/>
  <c r="E18" i="2"/>
  <c r="E24" i="2" l="1"/>
  <c r="E26" i="2" s="1"/>
</calcChain>
</file>

<file path=xl/sharedStrings.xml><?xml version="1.0" encoding="utf-8"?>
<sst xmlns="http://schemas.openxmlformats.org/spreadsheetml/2006/main" count="275" uniqueCount="145">
  <si>
    <t xml:space="preserve">Destinataire       </t>
  </si>
  <si>
    <t xml:space="preserve">Tél                     </t>
  </si>
  <si>
    <t xml:space="preserve">Fax                  </t>
  </si>
  <si>
    <t xml:space="preserve">E-mail               </t>
  </si>
  <si>
    <t xml:space="preserve">Affaire suivie par </t>
  </si>
  <si>
    <t>Code Article</t>
  </si>
  <si>
    <t>Références</t>
  </si>
  <si>
    <t xml:space="preserve">            Quantité</t>
  </si>
  <si>
    <t xml:space="preserve">P.U </t>
  </si>
  <si>
    <t xml:space="preserve">Montant </t>
  </si>
  <si>
    <t xml:space="preserve">Total Brut H.T   </t>
  </si>
  <si>
    <t>Représentant GPC</t>
  </si>
  <si>
    <t>RC Casa 102341 - CNSS TP: 2386945 - T.P: 32401222 - IF: 03700102 - ICE: 001525141000021</t>
  </si>
  <si>
    <t>Adresse électronique : contact@gpccarton.com</t>
  </si>
  <si>
    <t>www.gpccarton.com</t>
  </si>
  <si>
    <t xml:space="preserve">GPC Mohammédia : </t>
  </si>
  <si>
    <t>Route Côtière nº111 -   Tél : 0523 32 77 50 / 0523 30 34 15   -   Fax : 0523 32 60 51</t>
  </si>
  <si>
    <t xml:space="preserve">GPC Kénitra : </t>
  </si>
  <si>
    <t>Route de Tanger - BP 1398 -   Tél : 0537 37 17 67 / 0537 36 10 91   -   Fax : 0537 37 38 23</t>
  </si>
  <si>
    <t xml:space="preserve">GPC Agadir : </t>
  </si>
  <si>
    <t>ZI Ait Melloul - Lot 857 - BP 1763 -   Tél : 0528 24 90 33   -   Fax : 0528 24 81 19</t>
  </si>
  <si>
    <t xml:space="preserve">Papeterie Meknès : </t>
  </si>
  <si>
    <t>Route d'Agourai Km 2,300 -   Tél : 0535 53 72 60 / 0661 36 72 15   -   Fax : 0535 53 87 20</t>
  </si>
  <si>
    <t>Page 1 de 1</t>
  </si>
  <si>
    <t>Total TVA (00,00)</t>
  </si>
  <si>
    <t>ADV MOHAMMEDIA</t>
  </si>
  <si>
    <t>Régime :AT</t>
  </si>
  <si>
    <t>TECPAP</t>
  </si>
  <si>
    <t xml:space="preserve">ABBAD RACHIDA </t>
  </si>
  <si>
    <t>CT0275</t>
  </si>
  <si>
    <t xml:space="preserve">PARC INDUCTRIEL CFCIM BOUSKOURA </t>
  </si>
  <si>
    <t>N° ICE 001593766000040</t>
  </si>
  <si>
    <t xml:space="preserve">FACTURE CESSION </t>
  </si>
  <si>
    <t>TOTAL :</t>
  </si>
  <si>
    <t>N°  115 /2024</t>
  </si>
  <si>
    <t>9T0275/0076 EC370*200*230</t>
  </si>
  <si>
    <t>9T0275/0028 EC400*280*300</t>
  </si>
  <si>
    <t>9t0275/0011  
EC530*260*135</t>
  </si>
  <si>
    <t>9T0275/0091 EC440*340*400 DDE</t>
  </si>
  <si>
    <t xml:space="preserve">9T0275/0088 EC410*345*255 DDE
</t>
  </si>
  <si>
    <r>
      <t>GPC Papier &amp; Carton S.A.</t>
    </r>
    <r>
      <rPr>
        <sz val="10"/>
        <color theme="1"/>
        <rFont val="Calibri"/>
        <family val="2"/>
        <scheme val="minor"/>
      </rPr>
      <t xml:space="preserve">, au Capital de </t>
    </r>
    <r>
      <rPr>
        <b/>
        <sz val="10"/>
        <color theme="1"/>
        <rFont val="Calibri"/>
        <family val="2"/>
        <scheme val="minor"/>
      </rPr>
      <t xml:space="preserve">603.935.800,00 DH </t>
    </r>
    <r>
      <rPr>
        <sz val="10"/>
        <color theme="1"/>
        <rFont val="Calibri"/>
        <family val="2"/>
        <scheme val="minor"/>
      </rPr>
      <t xml:space="preserve">- </t>
    </r>
    <r>
      <rPr>
        <b/>
        <sz val="10"/>
        <color theme="1"/>
        <rFont val="Calibri"/>
        <family val="2"/>
        <scheme val="minor"/>
      </rPr>
      <t xml:space="preserve">Siège Social </t>
    </r>
    <r>
      <rPr>
        <sz val="10"/>
        <color theme="1"/>
        <rFont val="Calibri"/>
        <family val="2"/>
        <scheme val="minor"/>
      </rPr>
      <t xml:space="preserve">: 239, Bd Mohammed V - Casablanca </t>
    </r>
  </si>
  <si>
    <t>MONSIEUR   L'INSPECTEUR   PRINCIPAL</t>
  </si>
  <si>
    <t>SERVICE DES REGIMES ECONOMIQUES</t>
  </si>
  <si>
    <r>
      <t>OBJET</t>
    </r>
    <r>
      <rPr>
        <b/>
        <sz val="12"/>
        <rFont val="Antique Olive"/>
        <family val="2"/>
      </rPr>
      <t xml:space="preserve">  :    ATTESTATION DE CESSION    </t>
    </r>
  </si>
  <si>
    <t>AT A ENREGISTRER</t>
  </si>
  <si>
    <t xml:space="preserve">                   </t>
  </si>
  <si>
    <t xml:space="preserve"> </t>
  </si>
  <si>
    <t>Nous société  GPC  cédons à</t>
  </si>
  <si>
    <t>Société     :</t>
  </si>
  <si>
    <t>Quantité   :</t>
  </si>
  <si>
    <t>A cet effet, nous autorisons la dite société à apurer nos comptes d'AT conformément</t>
  </si>
  <si>
    <t>aux quantités mentionnées sur les fiches d'imputation ci-jointes,</t>
  </si>
  <si>
    <t>AT :</t>
  </si>
  <si>
    <t>309 22 002272 DU 01/07/2024</t>
  </si>
  <si>
    <t>Veuillez agréer, Monsieur l'inspecteur, l'expression de nos salutations distinguées.</t>
  </si>
  <si>
    <r>
      <t xml:space="preserve">               GHARB PAPIER et CARTON S.A</t>
    </r>
    <r>
      <rPr>
        <b/>
        <sz val="10"/>
        <color indexed="18"/>
        <rFont val="Century Gothic"/>
        <family val="2"/>
      </rPr>
      <t>.</t>
    </r>
    <r>
      <rPr>
        <sz val="10"/>
        <rFont val="Century Gothic"/>
        <family val="2"/>
      </rPr>
      <t xml:space="preserve">, </t>
    </r>
    <r>
      <rPr>
        <sz val="10"/>
        <color indexed="62"/>
        <rFont val="Century Gothic"/>
        <family val="2"/>
      </rPr>
      <t xml:space="preserve">au Capital de 603.935.800,00 Dhs - </t>
    </r>
    <r>
      <rPr>
        <b/>
        <sz val="10"/>
        <color indexed="62"/>
        <rFont val="Century Gothic"/>
        <family val="2"/>
      </rPr>
      <t>Siège Social</t>
    </r>
    <r>
      <rPr>
        <sz val="10"/>
        <color indexed="62"/>
        <rFont val="Century Gothic"/>
        <family val="2"/>
      </rPr>
      <t> : 239, Bd Mohammed V - Casablanca</t>
    </r>
  </si>
  <si>
    <r>
      <t xml:space="preserve">                                       RC Casa 102341 - CNSS TP:  2386945 - T.P:  32401222 - IF 03700102  -  </t>
    </r>
    <r>
      <rPr>
        <b/>
        <sz val="10"/>
        <color indexed="62"/>
        <rFont val="Century Gothic"/>
        <family val="2"/>
      </rPr>
      <t>ICE: 001525141000021</t>
    </r>
  </si>
  <si>
    <r>
      <t xml:space="preserve">                                                  GPC Mohammédia</t>
    </r>
    <r>
      <rPr>
        <sz val="10"/>
        <color indexed="62"/>
        <rFont val="Century Gothic"/>
        <family val="2"/>
      </rPr>
      <t> : 111, Route Côtière - Tél : 05 23 32 77 50 - Fax : 05 23 32 60 51</t>
    </r>
  </si>
  <si>
    <r>
      <t xml:space="preserve">                                                  GPC</t>
    </r>
    <r>
      <rPr>
        <sz val="10"/>
        <color indexed="62"/>
        <rFont val="Century Gothic"/>
        <family val="2"/>
      </rPr>
      <t xml:space="preserve"> </t>
    </r>
    <r>
      <rPr>
        <b/>
        <sz val="10"/>
        <color indexed="62"/>
        <rFont val="Century Gothic"/>
        <family val="2"/>
      </rPr>
      <t>Kénitra</t>
    </r>
    <r>
      <rPr>
        <sz val="10"/>
        <color indexed="62"/>
        <rFont val="Century Gothic"/>
        <family val="2"/>
      </rPr>
      <t> : Route de Tanger - BP 1398 - Tél : 05 37 37 17 67 - Fax : 05 37 37 38 23</t>
    </r>
  </si>
  <si>
    <r>
      <t xml:space="preserve">                                                  GPC</t>
    </r>
    <r>
      <rPr>
        <sz val="10"/>
        <color indexed="62"/>
        <rFont val="Century Gothic"/>
        <family val="2"/>
      </rPr>
      <t xml:space="preserve"> </t>
    </r>
    <r>
      <rPr>
        <b/>
        <sz val="10"/>
        <color indexed="62"/>
        <rFont val="Century Gothic"/>
        <family val="2"/>
      </rPr>
      <t xml:space="preserve">Agadir </t>
    </r>
    <r>
      <rPr>
        <sz val="10"/>
        <color indexed="62"/>
        <rFont val="Century Gothic"/>
        <family val="2"/>
      </rPr>
      <t>: ZI Ait Melloul- Lot 857 - BP 1763 – Tél : 05 28 24 90 33 – Fax : 05 28 24 81 19</t>
    </r>
  </si>
  <si>
    <r>
      <t xml:space="preserve">                                                  GPC MEKNES</t>
    </r>
    <r>
      <rPr>
        <sz val="10"/>
        <color indexed="62"/>
        <rFont val="Century Gothic"/>
        <family val="2"/>
      </rPr>
      <t xml:space="preserve">: Route d’Agourai,Km.2,300 – Tél : 05 35 53 72 60/ 061 36 72 15 – Fax : 05 35 53 87 20 </t>
    </r>
  </si>
  <si>
    <t>FICHE D'IMPUTATION (1)</t>
  </si>
  <si>
    <t>²</t>
  </si>
  <si>
    <t>annexée à la déclaration enregistrée</t>
  </si>
  <si>
    <t>N°:</t>
  </si>
  <si>
    <t xml:space="preserve">              et destinée à apurer les comptes d'admission</t>
  </si>
  <si>
    <t xml:space="preserve">                 </t>
  </si>
  <si>
    <t>de</t>
  </si>
  <si>
    <t>au bureau de:</t>
  </si>
  <si>
    <t>sous le:</t>
  </si>
  <si>
    <t>du:</t>
  </si>
  <si>
    <t xml:space="preserve">           'temporaire de matiéres premiéres(2) tenues par le bureau</t>
  </si>
  <si>
    <t>[3]</t>
  </si>
  <si>
    <t xml:space="preserve">                                           </t>
  </si>
  <si>
    <t xml:space="preserve">      Je soussigné</t>
  </si>
  <si>
    <t>GHARB PAPIER CARTON</t>
  </si>
  <si>
    <t xml:space="preserve">déclare vouloir imputer sur les soumissions d'admission temporaire ci-dessous détaillées </t>
  </si>
  <si>
    <t>les matières premiéres entrant dans la fabrication des marchandises reprises à la déclaration ci-annexée et réexportées (4) après avoir subi une transformation</t>
  </si>
  <si>
    <t>ou un complément de main d'oeuvre au Maroc.</t>
  </si>
  <si>
    <t>Dossier</t>
  </si>
  <si>
    <t>art.</t>
  </si>
  <si>
    <t xml:space="preserve">                          SOUMISSIONS D'ADMISSION TEMPORAIRE</t>
  </si>
  <si>
    <t xml:space="preserve">         MATIERES PREMIERES</t>
  </si>
  <si>
    <t>Rendement</t>
  </si>
  <si>
    <t xml:space="preserve">             QUANTITES DEMANDEES</t>
  </si>
  <si>
    <t xml:space="preserve">        SUR LESQUELLES LES IMPUTATIONS SONT DEMANDEES (5)</t>
  </si>
  <si>
    <t xml:space="preserve">                      IMPORTEES</t>
  </si>
  <si>
    <t>du</t>
  </si>
  <si>
    <t xml:space="preserve">                         EN DECHARGE</t>
  </si>
  <si>
    <t>la</t>
  </si>
  <si>
    <t>BUREAUX</t>
  </si>
  <si>
    <t>DATES</t>
  </si>
  <si>
    <t>NUMEROS</t>
  </si>
  <si>
    <t>ORIGINES</t>
  </si>
  <si>
    <t>SOUMISSIONNAIRES</t>
  </si>
  <si>
    <t>ESPECE SUCCINTE</t>
  </si>
  <si>
    <t>N° NOMENCLATURE</t>
  </si>
  <si>
    <t>pourcentage</t>
  </si>
  <si>
    <t>POIDS ( KGS )</t>
  </si>
  <si>
    <t>DECHET</t>
  </si>
  <si>
    <t>décl.</t>
  </si>
  <si>
    <t>D'EMISSION</t>
  </si>
  <si>
    <t>%</t>
  </si>
  <si>
    <t>TAXABLE</t>
  </si>
  <si>
    <t>G P C</t>
  </si>
  <si>
    <t>PAPIER</t>
  </si>
  <si>
    <t>B.</t>
  </si>
  <si>
    <t>OUI</t>
  </si>
  <si>
    <t>N.</t>
  </si>
  <si>
    <t>PDS A DECLARER =</t>
  </si>
  <si>
    <t>PDS</t>
  </si>
  <si>
    <t>B</t>
  </si>
  <si>
    <t>CR</t>
  </si>
  <si>
    <t>C</t>
  </si>
  <si>
    <t>PDS SYSTÈME</t>
  </si>
  <si>
    <t>TL</t>
  </si>
  <si>
    <t>E</t>
  </si>
  <si>
    <t>PDS -2%</t>
  </si>
  <si>
    <t>fiche</t>
  </si>
  <si>
    <t>Saisie Composition double face (3 feuilles)</t>
  </si>
  <si>
    <t>Qualité</t>
  </si>
  <si>
    <t>Nomoclature</t>
  </si>
  <si>
    <t>Grammage</t>
  </si>
  <si>
    <t>type Cannelure</t>
  </si>
  <si>
    <t>PDS NET/COMPTE</t>
  </si>
  <si>
    <t>PDS BRUT/COMPTE</t>
  </si>
  <si>
    <t>BB</t>
  </si>
  <si>
    <t>4810/480524</t>
  </si>
  <si>
    <t>WT</t>
  </si>
  <si>
    <t>480519/480511(309)</t>
  </si>
  <si>
    <t>480524/480525</t>
  </si>
  <si>
    <t>KL</t>
  </si>
  <si>
    <t>TOTAL</t>
  </si>
  <si>
    <t>9T0275/0028</t>
  </si>
  <si>
    <t>9T0275/0091</t>
  </si>
  <si>
    <t>9T0275/0076</t>
  </si>
  <si>
    <t>9T0275/0011</t>
  </si>
  <si>
    <t>9T0275/0088</t>
  </si>
  <si>
    <t>24.000 CAISSES EN CARTON</t>
  </si>
  <si>
    <t>MOHAMMEDIA LE, 11/07/2025</t>
  </si>
  <si>
    <t>309 22 000541 DU 13/02/2025</t>
  </si>
  <si>
    <t>22/148.0</t>
  </si>
  <si>
    <t>22/1552.0</t>
  </si>
  <si>
    <t>PDS A DECLARER</t>
  </si>
  <si>
    <t>CUMAREX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</si>
</sst>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\ [$EUR]"/>
    <numFmt numFmtId="167" formatCode="_-* #,##0.00\ _€_-;\-* #,##0.00\ _€_-;_-* &quot;-&quot;??\ _€_-;_-@_-"/>
    <numFmt numFmtId="168" formatCode="0.0%"/>
    <numFmt numFmtId="169" formatCode="#,##0.00;[Red]#,##0.00"/>
  </numFmts>
  <fonts count="43">
    <font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4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u/>
      <sz val="10"/>
      <color indexed="12"/>
      <name val="Arial"/>
      <family val="2"/>
    </font>
    <font>
      <sz val="11"/>
      <name val="Calibri"/>
      <family val="2"/>
      <scheme val="minor"/>
    </font>
    <font>
      <b/>
      <sz val="10"/>
      <name val="Arial"/>
      <family val="2"/>
    </font>
    <font>
      <b/>
      <u/>
      <sz val="16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4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4"/>
      <name val="Tw Cen MT Condensed"/>
      <family val="2"/>
    </font>
    <font>
      <b/>
      <sz val="12"/>
      <name val="Arial"/>
      <family val="2"/>
    </font>
    <font>
      <sz val="10"/>
      <name val="Tw Cen MT Condensed"/>
      <family val="2"/>
    </font>
    <font>
      <b/>
      <sz val="12"/>
      <name val="Antique Olive"/>
      <family val="2"/>
    </font>
    <font>
      <b/>
      <u/>
      <sz val="12"/>
      <name val="Arial"/>
      <family val="2"/>
    </font>
    <font>
      <b/>
      <u/>
      <sz val="12"/>
      <name val="Antique Olive"/>
      <family val="2"/>
    </font>
    <font>
      <sz val="12"/>
      <name val="Antique Olive"/>
      <family val="2"/>
    </font>
    <font>
      <b/>
      <sz val="12"/>
      <name val="Times New Roman"/>
      <family val="1"/>
    </font>
    <font>
      <b/>
      <sz val="12"/>
      <name val="Helvetica"/>
      <family val="2"/>
    </font>
    <font>
      <b/>
      <sz val="10"/>
      <color rgb="FF333399"/>
      <name val="Century Gothic"/>
      <family val="2"/>
    </font>
    <font>
      <b/>
      <sz val="10"/>
      <color indexed="18"/>
      <name val="Century Gothic"/>
      <family val="2"/>
    </font>
    <font>
      <sz val="10"/>
      <name val="Century Gothic"/>
      <family val="2"/>
    </font>
    <font>
      <sz val="10"/>
      <color indexed="62"/>
      <name val="Century Gothic"/>
      <family val="2"/>
    </font>
    <font>
      <b/>
      <sz val="10"/>
      <color indexed="62"/>
      <name val="Century Gothic"/>
      <family val="2"/>
    </font>
    <font>
      <sz val="13"/>
      <name val="Arial"/>
      <family val="2"/>
    </font>
    <font>
      <b/>
      <sz val="13"/>
      <name val="Arial"/>
      <family val="2"/>
    </font>
    <font>
      <sz val="10"/>
      <color rgb="FF333399"/>
      <name val="Century Gothic"/>
      <family val="2"/>
    </font>
    <font>
      <b/>
      <sz val="14"/>
      <name val="Times New Roman"/>
      <family val="1"/>
    </font>
    <font>
      <sz val="12"/>
      <name val="Times New Roman"/>
      <family val="1"/>
    </font>
    <font>
      <b/>
      <sz val="10"/>
      <name val="Times New Roman"/>
      <family val="1"/>
    </font>
    <font>
      <sz val="10"/>
      <name val="Times New Roman"/>
      <family val="1"/>
    </font>
    <font>
      <sz val="6"/>
      <name val="Times New Roman"/>
      <family val="1"/>
    </font>
    <font>
      <sz val="8"/>
      <name val="Times New Roman"/>
      <family val="1"/>
    </font>
    <font>
      <b/>
      <sz val="8"/>
      <name val="Times New Roman"/>
      <family val="1"/>
    </font>
    <font>
      <sz val="12"/>
      <name val="Arial"/>
      <family val="2"/>
    </font>
    <font>
      <b/>
      <sz val="11"/>
      <color rgb="FF000000"/>
      <name val="Calibri"/>
      <family val="2"/>
    </font>
    <font>
      <b/>
      <sz val="14"/>
      <color rgb="FF000000"/>
      <name val="Calibri"/>
      <family val="2"/>
    </font>
    <font>
      <sz val="14"/>
      <color theme="1"/>
      <name val="Calibri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9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39997558519241921"/>
        <bgColor rgb="FFF4B08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4B084"/>
        <bgColor rgb="FFF4B084"/>
      </patternFill>
    </fill>
    <fill>
      <patternFill patternType="solid">
        <fgColor theme="7" tint="0.59999389629810485"/>
        <bgColor rgb="FFFCE4D6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39997558519241921"/>
        <bgColor rgb="FFFCE4D6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79998168889431442"/>
        <bgColor rgb="FFFCE4D6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000"/>
        <bgColor indexed="64"/>
      </patternFill>
    </fill>
  </fills>
  <borders count="5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theme="3"/>
      </top>
      <bottom/>
      <diagonal/>
    </border>
    <border>
      <left/>
      <right/>
      <top style="medium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double">
        <color indexed="8"/>
      </left>
      <right style="thin">
        <color indexed="8"/>
      </right>
      <top style="double">
        <color indexed="8"/>
      </top>
      <bottom/>
      <diagonal/>
    </border>
    <border>
      <left style="thin">
        <color indexed="8"/>
      </left>
      <right/>
      <top style="double">
        <color indexed="8"/>
      </top>
      <bottom/>
      <diagonal/>
    </border>
    <border>
      <left/>
      <right/>
      <top style="double">
        <color indexed="8"/>
      </top>
      <bottom/>
      <diagonal/>
    </border>
    <border>
      <left/>
      <right style="thin">
        <color indexed="8"/>
      </right>
      <top style="double">
        <color indexed="8"/>
      </top>
      <bottom/>
      <diagonal/>
    </border>
    <border>
      <left style="thin">
        <color indexed="8"/>
      </left>
      <right style="thin">
        <color indexed="8"/>
      </right>
      <top style="double">
        <color indexed="8"/>
      </top>
      <bottom/>
      <diagonal/>
    </border>
    <border>
      <left style="thin">
        <color indexed="8"/>
      </left>
      <right style="thin">
        <color theme="1"/>
      </right>
      <top style="double">
        <color indexed="8"/>
      </top>
      <bottom/>
      <diagonal/>
    </border>
    <border>
      <left/>
      <right style="double">
        <color indexed="8"/>
      </right>
      <top style="double">
        <color indexed="8"/>
      </top>
      <bottom/>
      <diagonal/>
    </border>
    <border>
      <left style="double">
        <color indexed="8"/>
      </left>
      <right style="thin">
        <color indexed="8"/>
      </right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theme="1"/>
      </right>
      <top/>
      <bottom/>
      <diagonal/>
    </border>
    <border>
      <left/>
      <right style="double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theme="1"/>
      </right>
      <top style="thin">
        <color indexed="8"/>
      </top>
      <bottom/>
      <diagonal/>
    </border>
    <border>
      <left style="thin">
        <color indexed="8"/>
      </left>
      <right style="double">
        <color indexed="8"/>
      </right>
      <top style="thin">
        <color indexed="8"/>
      </top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dashed">
        <color indexed="8"/>
      </bottom>
      <diagonal/>
    </border>
    <border>
      <left style="thin">
        <color indexed="8"/>
      </left>
      <right style="thin">
        <color indexed="8"/>
      </right>
      <top style="dashed">
        <color indexed="8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8"/>
      </left>
      <right/>
      <top style="dashed">
        <color indexed="8"/>
      </top>
      <bottom/>
      <diagonal/>
    </border>
    <border>
      <left style="thin">
        <color indexed="8"/>
      </left>
      <right/>
      <top/>
      <bottom style="dashed">
        <color indexed="8"/>
      </bottom>
      <diagonal/>
    </border>
    <border>
      <left style="thin">
        <color indexed="8"/>
      </left>
      <right style="double">
        <color indexed="8"/>
      </right>
      <top/>
      <bottom/>
      <diagonal/>
    </border>
    <border>
      <left style="thin">
        <color indexed="8"/>
      </left>
      <right/>
      <top/>
      <bottom/>
      <diagonal/>
    </border>
  </borders>
  <cellStyleXfs count="4">
    <xf numFmtId="0" fontId="0" fillId="0" borderId="0"/>
    <xf numFmtId="164" fontId="5" fillId="0" borderId="0" applyNumberFormat="0" applyFill="0" applyBorder="0" applyAlignment="0" applyProtection="0">
      <alignment vertical="top"/>
      <protection locked="0"/>
    </xf>
    <xf numFmtId="9" fontId="12" fillId="0" borderId="0" applyFont="0" applyFill="0" applyBorder="0" applyAlignment="0" applyProtection="0"/>
    <xf numFmtId="167" fontId="12" fillId="0" borderId="0" applyFont="0" applyFill="0" applyBorder="0" applyAlignment="0" applyProtection="0"/>
  </cellStyleXfs>
  <cellXfs count="177">
    <xf numFmtId="0" fontId="0" fillId="0" borderId="0" xfId="0"/>
    <xf numFmtId="0" fontId="1" fillId="2" borderId="0" xfId="0" applyFont="1" applyFill="1" applyAlignment="1">
      <alignment horizontal="center"/>
    </xf>
    <xf numFmtId="0" fontId="1" fillId="2" borderId="0" xfId="0" applyFont="1" applyFill="1"/>
    <xf numFmtId="0" fontId="4" fillId="4" borderId="1" xfId="0" applyFont="1" applyFill="1" applyBorder="1"/>
    <xf numFmtId="0" fontId="4" fillId="4" borderId="2" xfId="0" applyFont="1" applyFill="1" applyBorder="1" applyAlignment="1">
      <alignment horizontal="center"/>
    </xf>
    <xf numFmtId="0" fontId="4" fillId="4" borderId="3" xfId="0" applyNumberFormat="1" applyFont="1" applyFill="1" applyBorder="1" applyAlignment="1">
      <alignment horizontal="center"/>
    </xf>
    <xf numFmtId="0" fontId="4" fillId="4" borderId="3" xfId="0" applyFont="1" applyFill="1" applyBorder="1" applyAlignment="1">
      <alignment horizontal="center"/>
    </xf>
    <xf numFmtId="0" fontId="1" fillId="2" borderId="0" xfId="0" applyFont="1" applyFill="1" applyBorder="1" applyAlignment="1">
      <alignment horizontal="center"/>
    </xf>
    <xf numFmtId="0" fontId="1" fillId="2" borderId="0" xfId="0" applyNumberFormat="1" applyFont="1" applyFill="1"/>
    <xf numFmtId="0" fontId="1" fillId="2" borderId="0" xfId="0" applyFont="1" applyFill="1" applyBorder="1" applyAlignment="1">
      <alignment horizontal="left"/>
    </xf>
    <xf numFmtId="0" fontId="0" fillId="0" borderId="0" xfId="0" applyFill="1"/>
    <xf numFmtId="0" fontId="0" fillId="2" borderId="0" xfId="0" applyFill="1"/>
    <xf numFmtId="0" fontId="4" fillId="2" borderId="0" xfId="0" applyFont="1" applyFill="1"/>
    <xf numFmtId="0" fontId="4" fillId="2" borderId="0" xfId="0" applyFont="1" applyFill="1" applyAlignment="1">
      <alignment horizontal="left"/>
    </xf>
    <xf numFmtId="0" fontId="1" fillId="2" borderId="0" xfId="0" applyFont="1" applyFill="1" applyBorder="1"/>
    <xf numFmtId="0" fontId="1" fillId="2" borderId="0" xfId="0" applyNumberFormat="1" applyFont="1" applyFill="1" applyBorder="1"/>
    <xf numFmtId="0" fontId="6" fillId="2" borderId="4" xfId="0" applyFont="1" applyFill="1" applyBorder="1" applyAlignment="1">
      <alignment horizontal="left"/>
    </xf>
    <xf numFmtId="0" fontId="6" fillId="2" borderId="6" xfId="0" applyFont="1" applyFill="1" applyBorder="1" applyAlignment="1">
      <alignment horizontal="left"/>
    </xf>
    <xf numFmtId="0" fontId="6" fillId="2" borderId="7" xfId="0" applyFont="1" applyFill="1" applyBorder="1" applyAlignment="1">
      <alignment horizontal="left"/>
    </xf>
    <xf numFmtId="0" fontId="6" fillId="2" borderId="9" xfId="0" applyFont="1" applyFill="1" applyBorder="1" applyAlignment="1">
      <alignment horizontal="left"/>
    </xf>
    <xf numFmtId="1" fontId="7" fillId="2" borderId="0" xfId="0" applyNumberFormat="1" applyFont="1" applyFill="1"/>
    <xf numFmtId="164" fontId="5" fillId="2" borderId="0" xfId="1" applyFont="1" applyFill="1" applyAlignment="1" applyProtection="1"/>
    <xf numFmtId="4" fontId="6" fillId="3" borderId="8" xfId="0" applyNumberFormat="1" applyFont="1" applyFill="1" applyBorder="1"/>
    <xf numFmtId="4" fontId="6" fillId="3" borderId="10" xfId="0" applyNumberFormat="1" applyFont="1" applyFill="1" applyBorder="1"/>
    <xf numFmtId="2" fontId="6" fillId="2" borderId="10" xfId="0" applyNumberFormat="1" applyFont="1" applyFill="1" applyBorder="1" applyAlignment="1">
      <alignment horizontal="center"/>
    </xf>
    <xf numFmtId="0" fontId="9" fillId="2" borderId="0" xfId="0" applyFont="1" applyFill="1" applyAlignment="1">
      <alignment horizontal="center"/>
    </xf>
    <xf numFmtId="14" fontId="9" fillId="2" borderId="0" xfId="0" applyNumberFormat="1" applyFont="1" applyFill="1"/>
    <xf numFmtId="0" fontId="6" fillId="2" borderId="11" xfId="0" applyFont="1" applyFill="1" applyBorder="1" applyAlignment="1">
      <alignment horizontal="left"/>
    </xf>
    <xf numFmtId="4" fontId="3" fillId="3" borderId="10" xfId="0" applyNumberFormat="1" applyFont="1" applyFill="1" applyBorder="1"/>
    <xf numFmtId="0" fontId="1" fillId="3" borderId="9" xfId="0" applyFont="1" applyFill="1" applyBorder="1"/>
    <xf numFmtId="3" fontId="6" fillId="2" borderId="10" xfId="0" applyNumberFormat="1" applyFont="1" applyFill="1" applyBorder="1"/>
    <xf numFmtId="3" fontId="9" fillId="2" borderId="4" xfId="0" applyNumberFormat="1" applyFont="1" applyFill="1" applyBorder="1" applyAlignment="1"/>
    <xf numFmtId="3" fontId="9" fillId="2" borderId="6" xfId="0" applyNumberFormat="1" applyFont="1" applyFill="1" applyBorder="1" applyAlignment="1"/>
    <xf numFmtId="0" fontId="6" fillId="2" borderId="7" xfId="0" applyFont="1" applyFill="1" applyBorder="1" applyAlignment="1">
      <alignment wrapText="1"/>
    </xf>
    <xf numFmtId="0" fontId="6" fillId="2" borderId="9" xfId="0" applyFont="1" applyFill="1" applyBorder="1" applyAlignment="1">
      <alignment wrapText="1"/>
    </xf>
    <xf numFmtId="3" fontId="9" fillId="2" borderId="7" xfId="0" applyNumberFormat="1" applyFont="1" applyFill="1" applyBorder="1" applyAlignment="1"/>
    <xf numFmtId="0" fontId="2" fillId="2" borderId="0" xfId="0" applyNumberFormat="1" applyFont="1" applyFill="1" applyAlignment="1">
      <alignment horizontal="center"/>
    </xf>
    <xf numFmtId="0" fontId="11" fillId="2" borderId="8" xfId="0" applyNumberFormat="1" applyFont="1" applyFill="1" applyBorder="1"/>
    <xf numFmtId="4" fontId="3" fillId="3" borderId="5" xfId="0" applyNumberFormat="1" applyFont="1" applyFill="1" applyBorder="1"/>
    <xf numFmtId="0" fontId="9" fillId="2" borderId="8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left"/>
    </xf>
    <xf numFmtId="0" fontId="13" fillId="0" borderId="0" xfId="0" applyFont="1"/>
    <xf numFmtId="0" fontId="13" fillId="2" borderId="0" xfId="0" applyFont="1" applyFill="1" applyAlignment="1"/>
    <xf numFmtId="0" fontId="13" fillId="2" borderId="0" xfId="1" applyNumberFormat="1" applyFont="1" applyFill="1" applyAlignment="1" applyProtection="1">
      <alignment horizontal="center"/>
    </xf>
    <xf numFmtId="0" fontId="13" fillId="0" borderId="0" xfId="0" applyFont="1" applyFill="1"/>
    <xf numFmtId="0" fontId="15" fillId="0" borderId="0" xfId="0" applyFont="1"/>
    <xf numFmtId="0" fontId="16" fillId="0" borderId="0" xfId="0" applyFont="1"/>
    <xf numFmtId="14" fontId="16" fillId="0" borderId="0" xfId="0" applyNumberFormat="1" applyFont="1" applyAlignment="1" applyProtection="1">
      <alignment horizontal="left"/>
    </xf>
    <xf numFmtId="0" fontId="17" fillId="0" borderId="0" xfId="0" applyFont="1"/>
    <xf numFmtId="0" fontId="18" fillId="0" borderId="0" xfId="0" applyFont="1"/>
    <xf numFmtId="0" fontId="19" fillId="0" borderId="0" xfId="0" applyFont="1"/>
    <xf numFmtId="0" fontId="20" fillId="0" borderId="0" xfId="0" applyFont="1"/>
    <xf numFmtId="0" fontId="21" fillId="0" borderId="0" xfId="0" applyFont="1"/>
    <xf numFmtId="0" fontId="18" fillId="0" borderId="0" xfId="0" applyFont="1" applyAlignment="1">
      <alignment horizontal="left"/>
    </xf>
    <xf numFmtId="14" fontId="18" fillId="0" borderId="0" xfId="0" applyNumberFormat="1" applyFont="1"/>
    <xf numFmtId="0" fontId="22" fillId="0" borderId="0" xfId="0" applyFont="1"/>
    <xf numFmtId="0" fontId="23" fillId="0" borderId="0" xfId="0" applyFont="1"/>
    <xf numFmtId="0" fontId="24" fillId="0" borderId="12" xfId="0" applyFont="1" applyBorder="1" applyAlignment="1"/>
    <xf numFmtId="0" fontId="29" fillId="0" borderId="12" xfId="0" applyFont="1" applyBorder="1" applyAlignment="1">
      <alignment horizontal="left"/>
    </xf>
    <xf numFmtId="0" fontId="0" fillId="0" borderId="12" xfId="0" applyBorder="1"/>
    <xf numFmtId="0" fontId="29" fillId="0" borderId="12" xfId="0" applyFont="1" applyBorder="1"/>
    <xf numFmtId="0" fontId="30" fillId="0" borderId="13" xfId="0" applyFont="1" applyBorder="1"/>
    <xf numFmtId="0" fontId="31" fillId="0" borderId="0" xfId="0" applyFont="1" applyAlignment="1"/>
    <xf numFmtId="0" fontId="29" fillId="0" borderId="0" xfId="0" applyFont="1"/>
    <xf numFmtId="0" fontId="30" fillId="0" borderId="0" xfId="0" applyFont="1"/>
    <xf numFmtId="0" fontId="24" fillId="0" borderId="0" xfId="0" applyFont="1"/>
    <xf numFmtId="0" fontId="24" fillId="0" borderId="0" xfId="0" applyFont="1" applyAlignment="1"/>
    <xf numFmtId="0" fontId="32" fillId="0" borderId="0" xfId="0" applyFont="1" applyAlignment="1">
      <alignment horizontal="left"/>
    </xf>
    <xf numFmtId="0" fontId="32" fillId="0" borderId="0" xfId="0" applyFont="1" applyAlignment="1">
      <alignment horizontal="center"/>
    </xf>
    <xf numFmtId="0" fontId="32" fillId="0" borderId="0" xfId="0" applyFont="1" applyAlignment="1" applyProtection="1">
      <alignment horizontal="left"/>
    </xf>
    <xf numFmtId="0" fontId="22" fillId="0" borderId="14" xfId="0" applyFont="1" applyBorder="1" applyAlignment="1">
      <alignment horizontal="center"/>
    </xf>
    <xf numFmtId="0" fontId="33" fillId="5" borderId="15" xfId="0" applyFont="1" applyFill="1" applyBorder="1"/>
    <xf numFmtId="0" fontId="34" fillId="5" borderId="0" xfId="0" applyFont="1" applyFill="1"/>
    <xf numFmtId="0" fontId="34" fillId="0" borderId="0" xfId="0" applyFont="1"/>
    <xf numFmtId="0" fontId="34" fillId="0" borderId="0" xfId="0" applyFont="1" applyAlignment="1">
      <alignment horizontal="center"/>
    </xf>
    <xf numFmtId="0" fontId="35" fillId="0" borderId="0" xfId="0" applyFont="1"/>
    <xf numFmtId="0" fontId="34" fillId="0" borderId="14" xfId="0" applyFont="1" applyBorder="1" applyAlignment="1">
      <alignment horizontal="center"/>
    </xf>
    <xf numFmtId="0" fontId="33" fillId="0" borderId="15" xfId="0" applyFont="1" applyBorder="1" applyProtection="1"/>
    <xf numFmtId="0" fontId="22" fillId="5" borderId="0" xfId="0" applyFont="1" applyFill="1"/>
    <xf numFmtId="0" fontId="22" fillId="0" borderId="16" xfId="0" applyFont="1" applyBorder="1" applyAlignment="1">
      <alignment horizontal="center"/>
    </xf>
    <xf numFmtId="0" fontId="33" fillId="5" borderId="17" xfId="0" applyFont="1" applyFill="1" applyBorder="1"/>
    <xf numFmtId="0" fontId="34" fillId="5" borderId="16" xfId="0" applyFont="1" applyFill="1" applyBorder="1"/>
    <xf numFmtId="0" fontId="33" fillId="5" borderId="17" xfId="0" applyFont="1" applyFill="1" applyBorder="1" applyAlignment="1" applyProtection="1">
      <alignment horizontal="center"/>
    </xf>
    <xf numFmtId="0" fontId="33" fillId="0" borderId="0" xfId="0" applyFont="1"/>
    <xf numFmtId="0" fontId="33" fillId="0" borderId="0" xfId="0" applyFont="1" applyAlignment="1">
      <alignment horizontal="center"/>
    </xf>
    <xf numFmtId="0" fontId="35" fillId="5" borderId="0" xfId="0" applyFont="1" applyFill="1"/>
    <xf numFmtId="0" fontId="35" fillId="0" borderId="0" xfId="0" applyFont="1" applyAlignment="1">
      <alignment horizontal="center"/>
    </xf>
    <xf numFmtId="0" fontId="35" fillId="0" borderId="0" xfId="0" applyFont="1" applyProtection="1"/>
    <xf numFmtId="0" fontId="22" fillId="6" borderId="0" xfId="0" applyFont="1" applyFill="1"/>
    <xf numFmtId="0" fontId="33" fillId="0" borderId="0" xfId="0" applyFont="1" applyProtection="1"/>
    <xf numFmtId="0" fontId="36" fillId="0" borderId="18" xfId="0" applyFont="1" applyBorder="1" applyAlignment="1">
      <alignment horizontal="center" vertical="center"/>
    </xf>
    <xf numFmtId="0" fontId="35" fillId="0" borderId="19" xfId="0" applyFont="1" applyBorder="1"/>
    <xf numFmtId="0" fontId="35" fillId="0" borderId="20" xfId="0" applyFont="1" applyBorder="1"/>
    <xf numFmtId="0" fontId="35" fillId="0" borderId="21" xfId="0" applyFont="1" applyBorder="1"/>
    <xf numFmtId="0" fontId="36" fillId="0" borderId="22" xfId="0" applyFont="1" applyBorder="1" applyAlignment="1">
      <alignment horizontal="center"/>
    </xf>
    <xf numFmtId="0" fontId="36" fillId="0" borderId="23" xfId="0" applyFont="1" applyBorder="1" applyAlignment="1">
      <alignment horizontal="center"/>
    </xf>
    <xf numFmtId="0" fontId="35" fillId="0" borderId="24" xfId="0" applyFont="1" applyBorder="1" applyProtection="1"/>
    <xf numFmtId="0" fontId="36" fillId="0" borderId="25" xfId="0" applyFont="1" applyBorder="1" applyAlignment="1">
      <alignment horizontal="center"/>
    </xf>
    <xf numFmtId="0" fontId="35" fillId="0" borderId="16" xfId="0" applyFont="1" applyBorder="1"/>
    <xf numFmtId="0" fontId="35" fillId="0" borderId="26" xfId="0" applyFont="1" applyBorder="1"/>
    <xf numFmtId="0" fontId="35" fillId="0" borderId="17" xfId="0" applyFont="1" applyBorder="1"/>
    <xf numFmtId="0" fontId="36" fillId="0" borderId="27" xfId="0" applyFont="1" applyBorder="1" applyAlignment="1">
      <alignment horizontal="center"/>
    </xf>
    <xf numFmtId="0" fontId="36" fillId="0" borderId="28" xfId="0" applyFont="1" applyBorder="1" applyAlignment="1">
      <alignment horizontal="center"/>
    </xf>
    <xf numFmtId="0" fontId="35" fillId="0" borderId="29" xfId="0" applyFont="1" applyBorder="1" applyProtection="1"/>
    <xf numFmtId="0" fontId="37" fillId="0" borderId="30" xfId="0" applyFont="1" applyBorder="1" applyAlignment="1">
      <alignment horizontal="center"/>
    </xf>
    <xf numFmtId="0" fontId="37" fillId="0" borderId="30" xfId="0" applyFont="1" applyBorder="1"/>
    <xf numFmtId="0" fontId="36" fillId="0" borderId="31" xfId="0" applyFont="1" applyBorder="1" applyAlignment="1">
      <alignment horizontal="center"/>
    </xf>
    <xf numFmtId="0" fontId="37" fillId="0" borderId="15" xfId="0" applyFont="1" applyBorder="1" applyAlignment="1">
      <alignment horizontal="center"/>
    </xf>
    <xf numFmtId="0" fontId="38" fillId="7" borderId="32" xfId="0" applyFont="1" applyFill="1" applyBorder="1" applyAlignment="1">
      <alignment horizontal="center"/>
    </xf>
    <xf numFmtId="4" fontId="0" fillId="0" borderId="0" xfId="0" applyNumberFormat="1"/>
    <xf numFmtId="0" fontId="0" fillId="0" borderId="0" xfId="0" applyProtection="1"/>
    <xf numFmtId="0" fontId="39" fillId="0" borderId="0" xfId="0" applyFont="1"/>
    <xf numFmtId="0" fontId="16" fillId="7" borderId="0" xfId="0" applyFont="1" applyFill="1"/>
    <xf numFmtId="4" fontId="16" fillId="7" borderId="0" xfId="0" applyNumberFormat="1" applyFont="1" applyFill="1" applyAlignment="1">
      <alignment horizontal="center"/>
    </xf>
    <xf numFmtId="0" fontId="40" fillId="8" borderId="0" xfId="0" applyFont="1" applyFill="1"/>
    <xf numFmtId="0" fontId="0" fillId="7" borderId="0" xfId="0" applyFill="1"/>
    <xf numFmtId="0" fontId="16" fillId="0" borderId="3" xfId="0" applyFont="1" applyBorder="1" applyAlignment="1">
      <alignment horizontal="center"/>
    </xf>
    <xf numFmtId="0" fontId="0" fillId="0" borderId="3" xfId="0" applyBorder="1"/>
    <xf numFmtId="2" fontId="0" fillId="0" borderId="0" xfId="0" applyNumberFormat="1"/>
    <xf numFmtId="0" fontId="16" fillId="0" borderId="0" xfId="0" applyFont="1" applyFill="1"/>
    <xf numFmtId="4" fontId="16" fillId="0" borderId="0" xfId="0" applyNumberFormat="1" applyFont="1" applyFill="1" applyAlignment="1">
      <alignment horizontal="center"/>
    </xf>
    <xf numFmtId="0" fontId="0" fillId="10" borderId="38" xfId="0" applyFill="1" applyBorder="1"/>
    <xf numFmtId="0" fontId="40" fillId="11" borderId="39" xfId="0" applyFont="1" applyFill="1" applyBorder="1" applyAlignment="1">
      <alignment horizontal="center" vertical="center" wrapText="1"/>
    </xf>
    <xf numFmtId="0" fontId="40" fillId="11" borderId="10" xfId="0" applyFont="1" applyFill="1" applyBorder="1" applyAlignment="1">
      <alignment horizontal="center" vertical="center" wrapText="1"/>
    </xf>
    <xf numFmtId="0" fontId="40" fillId="0" borderId="10" xfId="0" applyFont="1" applyBorder="1" applyAlignment="1" applyProtection="1">
      <alignment horizontal="center" vertical="center" wrapText="1"/>
      <protection hidden="1"/>
    </xf>
    <xf numFmtId="0" fontId="40" fillId="10" borderId="10" xfId="0" applyFont="1" applyFill="1" applyBorder="1" applyAlignment="1">
      <alignment horizontal="center" vertical="center" wrapText="1"/>
    </xf>
    <xf numFmtId="0" fontId="40" fillId="11" borderId="40" xfId="0" applyFont="1" applyFill="1" applyBorder="1" applyAlignment="1">
      <alignment horizontal="center" vertical="center" wrapText="1"/>
    </xf>
    <xf numFmtId="0" fontId="40" fillId="11" borderId="41" xfId="0" applyFont="1" applyFill="1" applyBorder="1" applyAlignment="1">
      <alignment horizontal="center" vertical="center" wrapText="1"/>
    </xf>
    <xf numFmtId="0" fontId="40" fillId="12" borderId="42" xfId="0" applyFont="1" applyFill="1" applyBorder="1" applyAlignment="1" applyProtection="1">
      <alignment horizontal="center"/>
      <protection locked="0"/>
    </xf>
    <xf numFmtId="0" fontId="40" fillId="12" borderId="3" xfId="0" applyFont="1" applyFill="1" applyBorder="1" applyAlignment="1" applyProtection="1">
      <alignment horizontal="center"/>
      <protection locked="0"/>
    </xf>
    <xf numFmtId="0" fontId="0" fillId="12" borderId="3" xfId="0" applyFill="1" applyBorder="1" applyAlignment="1" applyProtection="1">
      <alignment horizontal="center"/>
      <protection locked="0"/>
    </xf>
    <xf numFmtId="0" fontId="0" fillId="13" borderId="3" xfId="0" applyFill="1" applyBorder="1" applyAlignment="1" applyProtection="1">
      <alignment horizontal="center"/>
      <protection hidden="1"/>
    </xf>
    <xf numFmtId="168" fontId="40" fillId="7" borderId="3" xfId="2" applyNumberFormat="1" applyFont="1" applyFill="1" applyBorder="1" applyAlignment="1">
      <alignment horizontal="center"/>
    </xf>
    <xf numFmtId="2" fontId="0" fillId="0" borderId="43" xfId="0" applyNumberFormat="1" applyBorder="1"/>
    <xf numFmtId="2" fontId="0" fillId="0" borderId="44" xfId="0" applyNumberFormat="1" applyBorder="1"/>
    <xf numFmtId="0" fontId="40" fillId="14" borderId="42" xfId="0" applyFont="1" applyFill="1" applyBorder="1" applyAlignment="1" applyProtection="1">
      <alignment horizontal="center"/>
      <protection locked="0"/>
    </xf>
    <xf numFmtId="0" fontId="40" fillId="14" borderId="3" xfId="0" applyFont="1" applyFill="1" applyBorder="1" applyAlignment="1" applyProtection="1">
      <alignment horizontal="center"/>
      <protection locked="0"/>
    </xf>
    <xf numFmtId="0" fontId="0" fillId="14" borderId="3" xfId="0" applyFill="1" applyBorder="1" applyAlignment="1" applyProtection="1">
      <alignment horizontal="center"/>
      <protection locked="0"/>
    </xf>
    <xf numFmtId="0" fontId="0" fillId="15" borderId="3" xfId="0" applyFill="1" applyBorder="1" applyAlignment="1" applyProtection="1">
      <alignment horizontal="center"/>
      <protection hidden="1"/>
    </xf>
    <xf numFmtId="0" fontId="40" fillId="16" borderId="42" xfId="0" applyFont="1" applyFill="1" applyBorder="1" applyAlignment="1" applyProtection="1">
      <alignment horizontal="center"/>
      <protection locked="0"/>
    </xf>
    <xf numFmtId="0" fontId="40" fillId="16" borderId="3" xfId="0" applyFont="1" applyFill="1" applyBorder="1" applyAlignment="1" applyProtection="1">
      <alignment horizontal="center"/>
      <protection locked="0"/>
    </xf>
    <xf numFmtId="0" fontId="0" fillId="16" borderId="3" xfId="0" applyFill="1" applyBorder="1" applyAlignment="1" applyProtection="1">
      <alignment horizontal="center"/>
      <protection locked="0"/>
    </xf>
    <xf numFmtId="0" fontId="0" fillId="17" borderId="3" xfId="0" applyFill="1" applyBorder="1" applyAlignment="1" applyProtection="1">
      <alignment horizontal="center"/>
      <protection hidden="1"/>
    </xf>
    <xf numFmtId="0" fontId="40" fillId="18" borderId="48" xfId="0" applyFont="1" applyFill="1" applyBorder="1" applyAlignment="1" applyProtection="1">
      <alignment horizontal="center"/>
      <protection hidden="1"/>
    </xf>
    <xf numFmtId="168" fontId="40" fillId="18" borderId="49" xfId="2" applyNumberFormat="1" applyFont="1" applyFill="1" applyBorder="1" applyAlignment="1">
      <alignment horizontal="center"/>
    </xf>
    <xf numFmtId="169" fontId="16" fillId="18" borderId="50" xfId="0" applyNumberFormat="1" applyFont="1" applyFill="1" applyBorder="1"/>
    <xf numFmtId="4" fontId="40" fillId="18" borderId="51" xfId="0" applyNumberFormat="1" applyFont="1" applyFill="1" applyBorder="1"/>
    <xf numFmtId="3" fontId="9" fillId="2" borderId="1" xfId="0" applyNumberFormat="1" applyFont="1" applyFill="1" applyBorder="1" applyAlignment="1">
      <alignment horizontal="center"/>
    </xf>
    <xf numFmtId="3" fontId="9" fillId="2" borderId="2" xfId="0" applyNumberFormat="1" applyFont="1" applyFill="1" applyBorder="1" applyAlignment="1">
      <alignment horizontal="center"/>
    </xf>
    <xf numFmtId="0" fontId="13" fillId="2" borderId="0" xfId="0" applyFont="1" applyFill="1" applyAlignment="1">
      <alignment horizontal="center"/>
    </xf>
    <xf numFmtId="0" fontId="10" fillId="2" borderId="0" xfId="0" applyFont="1" applyFill="1" applyAlignment="1">
      <alignment horizontal="center"/>
    </xf>
    <xf numFmtId="0" fontId="14" fillId="2" borderId="0" xfId="1" applyNumberFormat="1" applyFont="1" applyFill="1" applyAlignment="1" applyProtection="1">
      <alignment horizontal="center"/>
    </xf>
    <xf numFmtId="0" fontId="7" fillId="2" borderId="0" xfId="0" applyFont="1" applyFill="1" applyBorder="1" applyAlignment="1">
      <alignment horizontal="left" vertical="top"/>
    </xf>
    <xf numFmtId="0" fontId="13" fillId="2" borderId="0" xfId="0" applyFont="1" applyFill="1" applyAlignment="1">
      <alignment horizontal="left"/>
    </xf>
    <xf numFmtId="3" fontId="9" fillId="2" borderId="7" xfId="0" applyNumberFormat="1" applyFont="1" applyFill="1" applyBorder="1" applyAlignment="1">
      <alignment horizontal="center"/>
    </xf>
    <xf numFmtId="3" fontId="9" fillId="2" borderId="9" xfId="0" applyNumberFormat="1" applyFont="1" applyFill="1" applyBorder="1" applyAlignment="1">
      <alignment horizontal="center"/>
    </xf>
    <xf numFmtId="0" fontId="8" fillId="2" borderId="0" xfId="0" applyNumberFormat="1" applyFont="1" applyFill="1" applyAlignment="1">
      <alignment horizontal="center" vertical="center"/>
    </xf>
    <xf numFmtId="0" fontId="14" fillId="2" borderId="0" xfId="0" applyFont="1" applyFill="1" applyAlignment="1">
      <alignment horizontal="center"/>
    </xf>
    <xf numFmtId="0" fontId="41" fillId="9" borderId="36" xfId="0" applyFont="1" applyFill="1" applyBorder="1" applyAlignment="1">
      <alignment horizontal="center" vertical="center"/>
    </xf>
    <xf numFmtId="0" fontId="41" fillId="9" borderId="37" xfId="0" applyFont="1" applyFill="1" applyBorder="1" applyAlignment="1">
      <alignment horizontal="center" vertical="center"/>
    </xf>
    <xf numFmtId="0" fontId="16" fillId="18" borderId="45" xfId="0" applyFont="1" applyFill="1" applyBorder="1" applyAlignment="1">
      <alignment horizontal="center"/>
    </xf>
    <xf numFmtId="0" fontId="16" fillId="18" borderId="46" xfId="0" applyFont="1" applyFill="1" applyBorder="1" applyAlignment="1">
      <alignment horizontal="center"/>
    </xf>
    <xf numFmtId="0" fontId="16" fillId="18" borderId="47" xfId="0" applyFont="1" applyFill="1" applyBorder="1" applyAlignment="1">
      <alignment horizontal="center"/>
    </xf>
    <xf numFmtId="0" fontId="42" fillId="0" borderId="0" xfId="0" applyFont="1" applyAlignment="1">
      <alignment horizontal="center" vertical="center"/>
    </xf>
    <xf numFmtId="0" fontId="42" fillId="7" borderId="0" xfId="0" applyFont="1" applyFill="1" applyAlignment="1">
      <alignment horizontal="center" vertical="center"/>
    </xf>
    <xf numFmtId="0" fontId="42" fillId="0" borderId="52" xfId="0" applyFont="1" applyBorder="1" applyAlignment="1">
      <alignment horizontal="center" vertical="center"/>
    </xf>
    <xf numFmtId="0" fontId="42" fillId="0" borderId="53" xfId="0" applyFont="1" applyBorder="1" applyAlignment="1">
      <alignment horizontal="center" vertical="center"/>
    </xf>
    <xf numFmtId="0" fontId="37" fillId="0" borderId="27" xfId="0" applyFont="1" applyBorder="1" applyAlignment="1">
      <alignment horizontal="center"/>
    </xf>
    <xf numFmtId="14" fontId="42" fillId="0" borderId="52" xfId="0" applyNumberFormat="1" applyFont="1" applyBorder="1" applyAlignment="1">
      <alignment horizontal="center" vertical="center"/>
    </xf>
    <xf numFmtId="0" fontId="37" fillId="0" borderId="27" xfId="0" applyFont="1" applyBorder="1"/>
    <xf numFmtId="9" fontId="42" fillId="0" borderId="52" xfId="0" applyNumberFormat="1" applyFont="1" applyBorder="1" applyAlignment="1">
      <alignment horizontal="center" vertical="center"/>
    </xf>
    <xf numFmtId="0" fontId="35" fillId="0" borderId="33" xfId="0" applyFont="1" applyBorder="1" applyAlignment="1">
      <alignment horizontal="center"/>
    </xf>
    <xf numFmtId="0" fontId="38" fillId="7" borderId="54" xfId="0" applyFont="1" applyFill="1" applyBorder="1" applyAlignment="1">
      <alignment horizontal="center"/>
    </xf>
    <xf numFmtId="0" fontId="42" fillId="7" borderId="35" xfId="0" applyFont="1" applyFill="1" applyBorder="1" applyAlignment="1">
      <alignment horizontal="center" vertical="center"/>
    </xf>
    <xf numFmtId="0" fontId="42" fillId="7" borderId="34" xfId="0" applyFont="1" applyFill="1" applyBorder="1" applyAlignment="1">
      <alignment horizontal="center" vertical="center"/>
    </xf>
    <xf numFmtId="0" fontId="42" fillId="0" borderId="55" xfId="0" applyFont="1" applyBorder="1" applyAlignment="1">
      <alignment horizontal="center" vertical="center"/>
    </xf>
    <xf numFmtId="0" fontId="42" fillId="7" borderId="27" xfId="0" applyFont="1" applyFill="1" applyBorder="1" applyAlignment="1">
      <alignment horizontal="center" vertical="center"/>
    </xf>
  </cellXfs>
  <cellStyles count="4">
    <cellStyle name="Hyperlink" xfId="1" builtinId="8"/>
    <cellStyle name="Milliers 2" xfId="3" xr:uid="{00000000-0005-0000-0000-000001000000}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emf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28575</xdr:colOff>
      <xdr:row>0</xdr:row>
      <xdr:rowOff>0</xdr:rowOff>
    </xdr:from>
    <xdr:ext cx="1672536" cy="695324"/>
    <xdr:pic>
      <xdr:nvPicPr>
        <xdr:cNvPr id="2" name="Picture 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0"/>
          <a:ext cx="1672536" cy="6953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4</xdr:col>
      <xdr:colOff>114300</xdr:colOff>
      <xdr:row>0</xdr:row>
      <xdr:rowOff>95250</xdr:rowOff>
    </xdr:from>
    <xdr:to>
      <xdr:col>4</xdr:col>
      <xdr:colOff>647700</xdr:colOff>
      <xdr:row>3</xdr:row>
      <xdr:rowOff>73660</xdr:rowOff>
    </xdr:to>
    <xdr:pic>
      <xdr:nvPicPr>
        <xdr:cNvPr id="3" name="image2.pn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5724525" y="95250"/>
          <a:ext cx="533400" cy="549910"/>
        </a:xfrm>
        <a:prstGeom prst="rect">
          <a:avLst/>
        </a:prstGeom>
      </xdr:spPr>
    </xdr:pic>
    <xdr:clientData/>
  </xdr:twoCellAnchor>
  <xdr:twoCellAnchor editAs="oneCell">
    <xdr:from>
      <xdr:col>4</xdr:col>
      <xdr:colOff>762000</xdr:colOff>
      <xdr:row>1</xdr:row>
      <xdr:rowOff>9525</xdr:rowOff>
    </xdr:from>
    <xdr:to>
      <xdr:col>4</xdr:col>
      <xdr:colOff>1115060</xdr:colOff>
      <xdr:row>2</xdr:row>
      <xdr:rowOff>173990</xdr:rowOff>
    </xdr:to>
    <xdr:pic>
      <xdr:nvPicPr>
        <xdr:cNvPr id="4" name="image3.pn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6372225" y="200025"/>
          <a:ext cx="353060" cy="354965"/>
        </a:xfrm>
        <a:prstGeom prst="rect">
          <a:avLst/>
        </a:prstGeom>
      </xdr:spPr>
    </xdr:pic>
    <xdr:clientData/>
  </xdr:twoCellAnchor>
  <xdr:twoCellAnchor editAs="oneCell">
    <xdr:from>
      <xdr:col>4</xdr:col>
      <xdr:colOff>1257300</xdr:colOff>
      <xdr:row>0</xdr:row>
      <xdr:rowOff>114299</xdr:rowOff>
    </xdr:from>
    <xdr:to>
      <xdr:col>4</xdr:col>
      <xdr:colOff>1857375</xdr:colOff>
      <xdr:row>3</xdr:row>
      <xdr:rowOff>66674</xdr:rowOff>
    </xdr:to>
    <xdr:pic>
      <xdr:nvPicPr>
        <xdr:cNvPr id="5" name="image4.png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6867525" y="114299"/>
          <a:ext cx="600075" cy="5238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76638</xdr:colOff>
      <xdr:row>0</xdr:row>
      <xdr:rowOff>54304</xdr:rowOff>
    </xdr:from>
    <xdr:to>
      <xdr:col>3</xdr:col>
      <xdr:colOff>248088</xdr:colOff>
      <xdr:row>5</xdr:row>
      <xdr:rowOff>111454</xdr:rowOff>
    </xdr:to>
    <xdr:pic>
      <xdr:nvPicPr>
        <xdr:cNvPr id="2" name="Picture 2" descr="Logo bleu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638" y="54304"/>
          <a:ext cx="3181350" cy="1009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 fLocksWithSheet="0"/>
  </xdr:twoCellAnchor>
  <xdr:oneCellAnchor>
    <xdr:from>
      <xdr:col>2</xdr:col>
      <xdr:colOff>1638305</xdr:colOff>
      <xdr:row>41</xdr:row>
      <xdr:rowOff>9525</xdr:rowOff>
    </xdr:from>
    <xdr:ext cx="4714870" cy="1638300"/>
    <xdr:pic>
      <xdr:nvPicPr>
        <xdr:cNvPr id="3" name="Image 2" descr="C:\Users\h.hinni\Downloads\Capture d’écran 2024-11-26 151845.png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33705" y="8201025"/>
          <a:ext cx="4714870" cy="1638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gpccarton.com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42"/>
  <sheetViews>
    <sheetView workbookViewId="0">
      <selection activeCell="C18" sqref="C18:C22"/>
    </sheetView>
  </sheetViews>
  <sheetFormatPr defaultColWidth="11.5546875" defaultRowHeight="14.4"/>
  <cols>
    <col min="1" max="1" width="15" bestFit="1" customWidth="1"/>
    <col min="2" max="2" width="31.5546875" customWidth="1"/>
    <col min="3" max="3" width="29" customWidth="1"/>
    <col min="4" max="4" width="16.109375" customWidth="1"/>
    <col min="5" max="5" width="29.5546875" customWidth="1"/>
  </cols>
  <sheetData>
    <row r="1" spans="1:5">
      <c r="A1" s="2"/>
      <c r="B1" s="2"/>
      <c r="C1" s="11"/>
      <c r="D1" s="11"/>
      <c r="E1" s="11"/>
    </row>
    <row r="2" spans="1:5">
      <c r="A2" s="2"/>
      <c r="B2" s="2"/>
      <c r="C2" s="11"/>
      <c r="D2" s="11"/>
      <c r="E2" s="11"/>
    </row>
    <row r="3" spans="1:5">
      <c r="A3" s="2"/>
      <c r="B3" s="2"/>
      <c r="C3" s="11"/>
      <c r="D3" s="11"/>
      <c r="E3" s="11"/>
    </row>
    <row r="4" spans="1:5">
      <c r="A4" s="2"/>
      <c r="B4" s="2"/>
      <c r="C4" s="11"/>
      <c r="D4" s="11"/>
      <c r="E4" s="11"/>
    </row>
    <row r="5" spans="1:5">
      <c r="A5" s="2"/>
      <c r="B5" s="2"/>
      <c r="C5" s="11"/>
      <c r="D5" s="11"/>
      <c r="E5" s="11"/>
    </row>
    <row r="6" spans="1:5">
      <c r="A6" s="2"/>
      <c r="B6" s="2"/>
      <c r="C6" s="11"/>
      <c r="D6" s="11"/>
      <c r="E6" s="11"/>
    </row>
    <row r="7" spans="1:5" ht="18">
      <c r="A7" s="2"/>
      <c r="B7" s="2"/>
      <c r="C7" s="36" t="s">
        <v>32</v>
      </c>
      <c r="D7" s="150" t="s">
        <v>34</v>
      </c>
      <c r="E7" s="150"/>
    </row>
    <row r="8" spans="1:5" ht="15.6">
      <c r="A8" s="2"/>
      <c r="B8" s="2"/>
      <c r="C8" s="26">
        <v>45849</v>
      </c>
      <c r="D8" s="1"/>
      <c r="E8" s="25" t="s">
        <v>26</v>
      </c>
    </row>
    <row r="9" spans="1:5">
      <c r="A9" s="2"/>
      <c r="B9" s="2"/>
      <c r="C9" s="8"/>
      <c r="D9" s="1"/>
      <c r="E9" s="11"/>
    </row>
    <row r="10" spans="1:5" ht="21">
      <c r="A10" s="2" t="s">
        <v>0</v>
      </c>
      <c r="B10" s="2" t="s">
        <v>29</v>
      </c>
      <c r="C10" s="156" t="s">
        <v>27</v>
      </c>
      <c r="D10" s="156"/>
      <c r="E10" s="156"/>
    </row>
    <row r="11" spans="1:5">
      <c r="A11" s="2" t="s">
        <v>1</v>
      </c>
      <c r="B11" s="20"/>
      <c r="C11" s="152" t="s">
        <v>30</v>
      </c>
      <c r="D11" s="152"/>
      <c r="E11" s="152"/>
    </row>
    <row r="12" spans="1:5">
      <c r="A12" s="2" t="s">
        <v>2</v>
      </c>
      <c r="B12" s="13"/>
      <c r="C12" s="152"/>
      <c r="D12" s="152"/>
      <c r="E12" s="152"/>
    </row>
    <row r="13" spans="1:5">
      <c r="A13" s="2" t="s">
        <v>3</v>
      </c>
      <c r="B13" s="21"/>
      <c r="C13" s="152" t="s">
        <v>31</v>
      </c>
      <c r="D13" s="152"/>
      <c r="E13" s="152"/>
    </row>
    <row r="14" spans="1:5">
      <c r="A14" s="2" t="s">
        <v>11</v>
      </c>
      <c r="B14" s="12" t="s">
        <v>28</v>
      </c>
      <c r="C14" s="152"/>
      <c r="D14" s="152"/>
      <c r="E14" s="152"/>
    </row>
    <row r="15" spans="1:5">
      <c r="A15" s="2" t="s">
        <v>4</v>
      </c>
      <c r="B15" s="12" t="s">
        <v>25</v>
      </c>
      <c r="C15" s="8"/>
      <c r="D15" s="1"/>
      <c r="E15" s="2"/>
    </row>
    <row r="16" spans="1:5">
      <c r="A16" s="2"/>
      <c r="B16" s="2"/>
      <c r="C16" s="8"/>
      <c r="D16" s="1"/>
      <c r="E16" s="2"/>
    </row>
    <row r="17" spans="1:5">
      <c r="A17" s="3" t="s">
        <v>5</v>
      </c>
      <c r="B17" s="4" t="s">
        <v>6</v>
      </c>
      <c r="C17" s="5" t="s">
        <v>7</v>
      </c>
      <c r="D17" s="5" t="s">
        <v>8</v>
      </c>
      <c r="E17" s="6" t="s">
        <v>9</v>
      </c>
    </row>
    <row r="18" spans="1:5" ht="15.6">
      <c r="A18" s="154" t="s">
        <v>35</v>
      </c>
      <c r="B18" s="155"/>
      <c r="C18" s="39">
        <v>3000</v>
      </c>
      <c r="D18" s="39">
        <v>3.36</v>
      </c>
      <c r="E18" s="37">
        <f>C18*D18</f>
        <v>10080</v>
      </c>
    </row>
    <row r="19" spans="1:5" ht="15.75" customHeight="1">
      <c r="A19" s="154" t="s">
        <v>36</v>
      </c>
      <c r="B19" s="155"/>
      <c r="C19" s="39">
        <v>13000</v>
      </c>
      <c r="D19" s="39">
        <v>5.23</v>
      </c>
      <c r="E19" s="37">
        <f t="shared" ref="E19:E22" si="0">C19*D19</f>
        <v>67990</v>
      </c>
    </row>
    <row r="20" spans="1:5" ht="15.75" customHeight="1">
      <c r="A20" s="154" t="s">
        <v>37</v>
      </c>
      <c r="B20" s="155"/>
      <c r="C20" s="39">
        <v>2000</v>
      </c>
      <c r="D20" s="39">
        <v>4.76</v>
      </c>
      <c r="E20" s="37">
        <f t="shared" si="0"/>
        <v>9520</v>
      </c>
    </row>
    <row r="21" spans="1:5" ht="15.75" customHeight="1">
      <c r="A21" s="154" t="s">
        <v>38</v>
      </c>
      <c r="B21" s="155"/>
      <c r="C21" s="39">
        <v>3000</v>
      </c>
      <c r="D21" s="39">
        <v>10.7</v>
      </c>
      <c r="E21" s="37">
        <f t="shared" si="0"/>
        <v>32099.999999999996</v>
      </c>
    </row>
    <row r="22" spans="1:5" ht="15.75" customHeight="1">
      <c r="A22" s="154" t="s">
        <v>39</v>
      </c>
      <c r="B22" s="155"/>
      <c r="C22" s="39">
        <v>3000</v>
      </c>
      <c r="D22" s="39">
        <v>9.18</v>
      </c>
      <c r="E22" s="37">
        <f t="shared" si="0"/>
        <v>27540</v>
      </c>
    </row>
    <row r="23" spans="1:5">
      <c r="A23" s="33"/>
      <c r="B23" s="34"/>
      <c r="C23" s="30"/>
      <c r="D23" s="24"/>
      <c r="E23" s="23"/>
    </row>
    <row r="24" spans="1:5" ht="15.6" hidden="1">
      <c r="A24" s="31"/>
      <c r="B24" s="32"/>
      <c r="C24" s="16" t="s">
        <v>10</v>
      </c>
      <c r="D24" s="17"/>
      <c r="E24" s="38">
        <f>SUM(E18:E23)</f>
        <v>147230</v>
      </c>
    </row>
    <row r="25" spans="1:5" ht="15.6" hidden="1">
      <c r="A25" s="35"/>
      <c r="B25" s="29"/>
      <c r="C25" s="18" t="s">
        <v>24</v>
      </c>
      <c r="D25" s="19"/>
      <c r="E25" s="22">
        <v>0</v>
      </c>
    </row>
    <row r="26" spans="1:5" ht="15.6">
      <c r="A26" s="147"/>
      <c r="B26" s="148"/>
      <c r="C26" s="40" t="s">
        <v>33</v>
      </c>
      <c r="D26" s="27"/>
      <c r="E26" s="28">
        <f>+E24+E25</f>
        <v>147230</v>
      </c>
    </row>
    <row r="27" spans="1:5">
      <c r="A27" s="14"/>
      <c r="B27" s="14"/>
      <c r="C27" s="9"/>
      <c r="D27" s="9"/>
      <c r="E27" s="14"/>
    </row>
    <row r="28" spans="1:5" ht="348.75" customHeight="1">
      <c r="A28" s="14"/>
      <c r="B28" s="14"/>
      <c r="C28" s="9"/>
      <c r="D28" s="9"/>
      <c r="E28" s="14"/>
    </row>
    <row r="29" spans="1:5" ht="142.5" customHeight="1">
      <c r="A29" s="14"/>
      <c r="B29" s="14"/>
      <c r="C29" s="9"/>
      <c r="D29" s="9"/>
      <c r="E29" s="14"/>
    </row>
    <row r="30" spans="1:5">
      <c r="A30" s="14"/>
      <c r="B30" s="14"/>
      <c r="C30" s="9"/>
      <c r="D30" s="9"/>
      <c r="E30" s="14"/>
    </row>
    <row r="31" spans="1:5" s="41" customFormat="1" ht="13.8">
      <c r="A31" s="14"/>
      <c r="B31" s="14"/>
      <c r="C31" s="15"/>
      <c r="D31" s="7"/>
      <c r="E31" s="14"/>
    </row>
    <row r="32" spans="1:5" s="41" customFormat="1" ht="13.8">
      <c r="A32" s="157" t="s">
        <v>40</v>
      </c>
      <c r="B32" s="157"/>
      <c r="C32" s="157"/>
      <c r="D32" s="157"/>
      <c r="E32" s="157"/>
    </row>
    <row r="33" spans="1:6" s="41" customFormat="1" ht="13.8">
      <c r="A33" s="149" t="s">
        <v>12</v>
      </c>
      <c r="B33" s="149"/>
      <c r="C33" s="149"/>
      <c r="D33" s="149"/>
      <c r="E33" s="149"/>
    </row>
    <row r="34" spans="1:6" s="41" customFormat="1" ht="13.8">
      <c r="A34" s="42" t="s">
        <v>15</v>
      </c>
      <c r="B34" s="153" t="s">
        <v>16</v>
      </c>
      <c r="C34" s="153"/>
      <c r="D34" s="153"/>
      <c r="E34" s="153"/>
    </row>
    <row r="35" spans="1:6" s="41" customFormat="1" ht="13.8">
      <c r="A35" s="42" t="s">
        <v>17</v>
      </c>
      <c r="B35" s="153" t="s">
        <v>18</v>
      </c>
      <c r="C35" s="153"/>
      <c r="D35" s="153"/>
      <c r="E35" s="153"/>
    </row>
    <row r="36" spans="1:6" s="41" customFormat="1" ht="13.8">
      <c r="A36" s="42" t="s">
        <v>19</v>
      </c>
      <c r="B36" s="42" t="s">
        <v>20</v>
      </c>
      <c r="C36" s="42"/>
      <c r="D36" s="42"/>
      <c r="E36" s="42"/>
    </row>
    <row r="37" spans="1:6" s="41" customFormat="1" ht="13.8">
      <c r="A37" s="42" t="s">
        <v>21</v>
      </c>
      <c r="B37" s="42" t="s">
        <v>22</v>
      </c>
      <c r="C37" s="42"/>
      <c r="D37" s="42"/>
      <c r="E37" s="42"/>
    </row>
    <row r="38" spans="1:6" s="41" customFormat="1" ht="13.8">
      <c r="A38" s="149" t="s">
        <v>13</v>
      </c>
      <c r="B38" s="149"/>
      <c r="C38" s="149"/>
      <c r="D38" s="149"/>
      <c r="E38" s="149"/>
    </row>
    <row r="39" spans="1:6" s="41" customFormat="1" ht="13.8">
      <c r="A39" s="151" t="s">
        <v>14</v>
      </c>
      <c r="B39" s="151"/>
      <c r="C39" s="151"/>
      <c r="D39" s="151"/>
      <c r="E39" s="43" t="s">
        <v>23</v>
      </c>
    </row>
    <row r="40" spans="1:6" s="41" customFormat="1" ht="13.8">
      <c r="A40" s="44"/>
      <c r="B40" s="44"/>
      <c r="C40" s="44"/>
      <c r="D40" s="44"/>
      <c r="E40" s="44"/>
      <c r="F40" s="44"/>
    </row>
    <row r="41" spans="1:6">
      <c r="A41" s="10"/>
      <c r="B41" s="10"/>
      <c r="C41" s="10"/>
      <c r="D41" s="10"/>
      <c r="E41" s="10"/>
      <c r="F41" s="10"/>
    </row>
    <row r="42" spans="1:6">
      <c r="A42" s="10"/>
      <c r="B42" s="10"/>
      <c r="C42" s="10"/>
      <c r="D42" s="10"/>
      <c r="E42" s="10"/>
      <c r="F42" s="10"/>
    </row>
  </sheetData>
  <mergeCells count="16">
    <mergeCell ref="A26:B26"/>
    <mergeCell ref="A33:E33"/>
    <mergeCell ref="D7:E7"/>
    <mergeCell ref="A39:D39"/>
    <mergeCell ref="C11:E12"/>
    <mergeCell ref="A38:E38"/>
    <mergeCell ref="B34:E34"/>
    <mergeCell ref="B35:E35"/>
    <mergeCell ref="C13:E14"/>
    <mergeCell ref="A21:B21"/>
    <mergeCell ref="A19:B19"/>
    <mergeCell ref="A18:B18"/>
    <mergeCell ref="C10:E10"/>
    <mergeCell ref="A32:E32"/>
    <mergeCell ref="A20:B20"/>
    <mergeCell ref="A22:B22"/>
  </mergeCells>
  <hyperlinks>
    <hyperlink ref="A39" r:id="rId1" xr:uid="{00000000-0004-0000-0000-000000000000}"/>
  </hyperlinks>
  <pageMargins left="0.7" right="0.7" top="0.75" bottom="0.75" header="0.3" footer="0.3"/>
  <pageSetup scale="69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L85"/>
  <sheetViews>
    <sheetView workbookViewId="0">
      <selection activeCell="L2" sqref="L2:L6"/>
    </sheetView>
  </sheetViews>
  <sheetFormatPr defaultColWidth="11.5546875" defaultRowHeight="14.4"/>
  <cols>
    <col min="5" max="5" width="21.44140625" customWidth="1"/>
    <col min="8" max="8" width="18.33203125" customWidth="1"/>
  </cols>
  <sheetData>
    <row r="1" spans="1:12">
      <c r="E1" s="114" t="s">
        <v>27</v>
      </c>
    </row>
    <row r="2" spans="1:12">
      <c r="H2" s="115" t="s">
        <v>135</v>
      </c>
      <c r="J2" t="s">
        <v>110</v>
      </c>
      <c r="K2" s="109">
        <f>+F3+F20+F37+F54+F71</f>
        <v>9846.8249999999989</v>
      </c>
      <c r="L2" s="109"/>
    </row>
    <row r="3" spans="1:12" ht="15.6">
      <c r="A3" s="116" t="s">
        <v>111</v>
      </c>
      <c r="B3" s="117">
        <v>1.38</v>
      </c>
      <c r="E3" s="112" t="s">
        <v>109</v>
      </c>
      <c r="F3" s="113">
        <f>+F4*0.85</f>
        <v>709.92</v>
      </c>
      <c r="J3" t="s">
        <v>112</v>
      </c>
      <c r="K3" s="118">
        <f>+H14+H31+H48+H65+H64+H81+H82</f>
        <v>4794.9491696320483</v>
      </c>
      <c r="L3" s="118"/>
    </row>
    <row r="4" spans="1:12" ht="15.6">
      <c r="A4" s="116" t="s">
        <v>113</v>
      </c>
      <c r="B4" s="117">
        <v>1.48</v>
      </c>
      <c r="E4" s="119" t="s">
        <v>114</v>
      </c>
      <c r="F4" s="120">
        <f>3000*0.2784</f>
        <v>835.19999999999993</v>
      </c>
      <c r="G4">
        <f>+F4*0.85</f>
        <v>709.92</v>
      </c>
      <c r="J4" t="s">
        <v>115</v>
      </c>
      <c r="K4" s="118">
        <f>+H15+H32+H49+H66+H83</f>
        <v>6557.8608303679503</v>
      </c>
      <c r="L4" s="118"/>
    </row>
    <row r="5" spans="1:12" ht="15.6">
      <c r="A5" s="116" t="s">
        <v>116</v>
      </c>
      <c r="B5" s="117">
        <v>1.32</v>
      </c>
      <c r="E5" s="119" t="s">
        <v>117</v>
      </c>
      <c r="F5" s="120">
        <f>+G4-G4*0.02</f>
        <v>695.72159999999997</v>
      </c>
      <c r="G5" s="111" t="s">
        <v>118</v>
      </c>
    </row>
    <row r="8" spans="1:12" ht="15" thickBot="1"/>
    <row r="9" spans="1:12" ht="18.600000000000001" thickBot="1">
      <c r="A9" s="158" t="s">
        <v>119</v>
      </c>
      <c r="B9" s="159"/>
      <c r="C9" s="159"/>
      <c r="D9" s="159"/>
      <c r="E9" s="159"/>
      <c r="F9" s="159"/>
      <c r="G9" s="159"/>
      <c r="H9" s="121"/>
    </row>
    <row r="10" spans="1:12" ht="43.2">
      <c r="A10" s="122" t="s">
        <v>120</v>
      </c>
      <c r="B10" s="123" t="s">
        <v>121</v>
      </c>
      <c r="C10" s="123" t="s">
        <v>122</v>
      </c>
      <c r="D10" s="123" t="s">
        <v>123</v>
      </c>
      <c r="E10" s="124"/>
      <c r="F10" s="125" t="s">
        <v>102</v>
      </c>
      <c r="G10" s="126" t="s">
        <v>124</v>
      </c>
      <c r="H10" s="127" t="s">
        <v>125</v>
      </c>
    </row>
    <row r="11" spans="1:12">
      <c r="A11" s="128" t="s">
        <v>126</v>
      </c>
      <c r="B11" s="129" t="s">
        <v>127</v>
      </c>
      <c r="C11" s="130">
        <v>0</v>
      </c>
      <c r="D11" s="130"/>
      <c r="E11" s="131">
        <f>+C11</f>
        <v>0</v>
      </c>
      <c r="F11" s="132">
        <f>+E11/E17</f>
        <v>0</v>
      </c>
      <c r="G11" s="133">
        <f>+F11*F5</f>
        <v>0</v>
      </c>
      <c r="H11" s="134">
        <f t="shared" ref="H11:H16" si="0">+G11*100/85</f>
        <v>0</v>
      </c>
    </row>
    <row r="12" spans="1:12">
      <c r="A12" s="128" t="s">
        <v>128</v>
      </c>
      <c r="B12" s="129">
        <v>480419</v>
      </c>
      <c r="C12" s="130">
        <v>0</v>
      </c>
      <c r="D12" s="130"/>
      <c r="E12" s="131">
        <f>+C12</f>
        <v>0</v>
      </c>
      <c r="F12" s="132">
        <f>+E12/E17</f>
        <v>0</v>
      </c>
      <c r="G12" s="133">
        <f>+F5*F12</f>
        <v>0</v>
      </c>
      <c r="H12" s="134">
        <f t="shared" si="0"/>
        <v>0</v>
      </c>
    </row>
    <row r="13" spans="1:12">
      <c r="A13" s="135" t="s">
        <v>112</v>
      </c>
      <c r="B13" s="136" t="s">
        <v>129</v>
      </c>
      <c r="C13" s="137">
        <v>0</v>
      </c>
      <c r="D13" s="137" t="s">
        <v>111</v>
      </c>
      <c r="E13" s="138">
        <f>C13*B3</f>
        <v>0</v>
      </c>
      <c r="F13" s="132">
        <f>+E13/E17</f>
        <v>0</v>
      </c>
      <c r="G13" s="133">
        <f>+F13*F5</f>
        <v>0</v>
      </c>
      <c r="H13" s="134">
        <f t="shared" si="0"/>
        <v>0</v>
      </c>
    </row>
    <row r="14" spans="1:12">
      <c r="A14" s="135" t="s">
        <v>112</v>
      </c>
      <c r="B14" s="136" t="s">
        <v>129</v>
      </c>
      <c r="C14" s="137">
        <v>140</v>
      </c>
      <c r="D14" s="137" t="s">
        <v>113</v>
      </c>
      <c r="E14" s="138">
        <f>C14*B4</f>
        <v>207.2</v>
      </c>
      <c r="F14" s="132">
        <f>+E14/E17</f>
        <v>0.39678284182305623</v>
      </c>
      <c r="G14" s="133">
        <f>+F5*F14</f>
        <v>276.05039356568358</v>
      </c>
      <c r="H14" s="134">
        <f t="shared" si="0"/>
        <v>324.76516890080421</v>
      </c>
    </row>
    <row r="15" spans="1:12">
      <c r="A15" s="139" t="s">
        <v>115</v>
      </c>
      <c r="B15" s="140" t="s">
        <v>130</v>
      </c>
      <c r="C15" s="141">
        <f>140+175</f>
        <v>315</v>
      </c>
      <c r="D15" s="141"/>
      <c r="E15" s="142">
        <f>+C15</f>
        <v>315</v>
      </c>
      <c r="F15" s="132">
        <f>+E15/E17</f>
        <v>0.60321715817694366</v>
      </c>
      <c r="G15" s="133">
        <f>+F15*F5</f>
        <v>419.67120643431633</v>
      </c>
      <c r="H15" s="134">
        <f t="shared" si="0"/>
        <v>493.73083109919571</v>
      </c>
    </row>
    <row r="16" spans="1:12">
      <c r="A16" s="139" t="s">
        <v>131</v>
      </c>
      <c r="B16" s="140">
        <v>408411</v>
      </c>
      <c r="C16" s="141">
        <v>0</v>
      </c>
      <c r="D16" s="141"/>
      <c r="E16" s="142">
        <f>+C16</f>
        <v>0</v>
      </c>
      <c r="F16" s="132">
        <f>+E16/E17</f>
        <v>0</v>
      </c>
      <c r="G16" s="133">
        <f>+F16*F5</f>
        <v>0</v>
      </c>
      <c r="H16" s="134">
        <f t="shared" si="0"/>
        <v>0</v>
      </c>
    </row>
    <row r="17" spans="1:8" ht="16.2" thickBot="1">
      <c r="A17" s="160" t="s">
        <v>132</v>
      </c>
      <c r="B17" s="161"/>
      <c r="C17" s="161"/>
      <c r="D17" s="162"/>
      <c r="E17" s="143">
        <f>SUM(E11:E16)</f>
        <v>522.20000000000005</v>
      </c>
      <c r="F17" s="144">
        <f>SUM(F11:F16)</f>
        <v>0.99999999999999989</v>
      </c>
      <c r="G17" s="145">
        <f>SUM(G11:G16)</f>
        <v>695.72159999999985</v>
      </c>
      <c r="H17" s="146">
        <f>SUM(H11:H16)</f>
        <v>818.49599999999987</v>
      </c>
    </row>
    <row r="19" spans="1:8">
      <c r="H19" s="115" t="s">
        <v>133</v>
      </c>
    </row>
    <row r="20" spans="1:8" ht="15.6">
      <c r="A20" s="116" t="s">
        <v>111</v>
      </c>
      <c r="B20" s="117">
        <v>1.38</v>
      </c>
      <c r="E20" s="112" t="s">
        <v>109</v>
      </c>
      <c r="F20" s="113">
        <f>+F21*0.85</f>
        <v>4913.9349999999995</v>
      </c>
    </row>
    <row r="21" spans="1:8" ht="15.6">
      <c r="A21" s="116" t="s">
        <v>113</v>
      </c>
      <c r="B21" s="117">
        <v>1.48</v>
      </c>
      <c r="E21" s="119" t="s">
        <v>114</v>
      </c>
      <c r="F21" s="120">
        <f>13000*0.4447</f>
        <v>5781.0999999999995</v>
      </c>
      <c r="G21">
        <f>+F21*0.85</f>
        <v>4913.9349999999995</v>
      </c>
    </row>
    <row r="22" spans="1:8" ht="15.6">
      <c r="A22" s="116" t="s">
        <v>116</v>
      </c>
      <c r="B22" s="117">
        <v>1.32</v>
      </c>
      <c r="E22" s="119" t="s">
        <v>117</v>
      </c>
      <c r="F22" s="120">
        <f>+G21-G21*0.02</f>
        <v>4815.6562999999996</v>
      </c>
      <c r="G22" s="111" t="s">
        <v>118</v>
      </c>
    </row>
    <row r="25" spans="1:8" ht="15" thickBot="1"/>
    <row r="26" spans="1:8" ht="18.600000000000001" thickBot="1">
      <c r="A26" s="158" t="s">
        <v>119</v>
      </c>
      <c r="B26" s="159"/>
      <c r="C26" s="159"/>
      <c r="D26" s="159"/>
      <c r="E26" s="159"/>
      <c r="F26" s="159"/>
      <c r="G26" s="159"/>
      <c r="H26" s="121"/>
    </row>
    <row r="27" spans="1:8" ht="43.2">
      <c r="A27" s="122" t="s">
        <v>120</v>
      </c>
      <c r="B27" s="123" t="s">
        <v>121</v>
      </c>
      <c r="C27" s="123" t="s">
        <v>122</v>
      </c>
      <c r="D27" s="123" t="s">
        <v>123</v>
      </c>
      <c r="E27" s="124"/>
      <c r="F27" s="125" t="s">
        <v>102</v>
      </c>
      <c r="G27" s="126" t="s">
        <v>124</v>
      </c>
      <c r="H27" s="127" t="s">
        <v>125</v>
      </c>
    </row>
    <row r="28" spans="1:8">
      <c r="A28" s="128" t="s">
        <v>126</v>
      </c>
      <c r="B28" s="129" t="s">
        <v>127</v>
      </c>
      <c r="C28" s="130">
        <v>0</v>
      </c>
      <c r="D28" s="130"/>
      <c r="E28" s="131">
        <f>+C28</f>
        <v>0</v>
      </c>
      <c r="F28" s="132">
        <f>+E28/E34</f>
        <v>0</v>
      </c>
      <c r="G28" s="133">
        <f>+F28*F22</f>
        <v>0</v>
      </c>
      <c r="H28" s="134">
        <f t="shared" ref="H28:H33" si="1">+G28*100/85</f>
        <v>0</v>
      </c>
    </row>
    <row r="29" spans="1:8">
      <c r="A29" s="128" t="s">
        <v>128</v>
      </c>
      <c r="B29" s="129">
        <v>480419</v>
      </c>
      <c r="C29" s="130">
        <v>0</v>
      </c>
      <c r="D29" s="130"/>
      <c r="E29" s="131">
        <f>+C29</f>
        <v>0</v>
      </c>
      <c r="F29" s="132">
        <f>+E29/E34</f>
        <v>0</v>
      </c>
      <c r="G29" s="133">
        <f>+F22*F29</f>
        <v>0</v>
      </c>
      <c r="H29" s="134">
        <f t="shared" si="1"/>
        <v>0</v>
      </c>
    </row>
    <row r="30" spans="1:8">
      <c r="A30" s="135" t="s">
        <v>112</v>
      </c>
      <c r="B30" s="136" t="s">
        <v>129</v>
      </c>
      <c r="C30" s="137">
        <v>0</v>
      </c>
      <c r="D30" s="137" t="s">
        <v>111</v>
      </c>
      <c r="E30" s="138">
        <f>C30*B20</f>
        <v>0</v>
      </c>
      <c r="F30" s="132">
        <f>+E30/E34</f>
        <v>0</v>
      </c>
      <c r="G30" s="133">
        <f>+F30*F22</f>
        <v>0</v>
      </c>
      <c r="H30" s="134">
        <f t="shared" si="1"/>
        <v>0</v>
      </c>
    </row>
    <row r="31" spans="1:8">
      <c r="A31" s="135" t="s">
        <v>112</v>
      </c>
      <c r="B31" s="136" t="s">
        <v>129</v>
      </c>
      <c r="C31" s="137">
        <v>140</v>
      </c>
      <c r="D31" s="137" t="s">
        <v>113</v>
      </c>
      <c r="E31" s="138">
        <f>C31*B21</f>
        <v>207.2</v>
      </c>
      <c r="F31" s="132">
        <f>+E31/E34</f>
        <v>0.39678284182305623</v>
      </c>
      <c r="G31" s="133">
        <f>+F22*F31</f>
        <v>1910.7697919571042</v>
      </c>
      <c r="H31" s="134">
        <f t="shared" si="1"/>
        <v>2247.9644611260051</v>
      </c>
    </row>
    <row r="32" spans="1:8">
      <c r="A32" s="139" t="s">
        <v>115</v>
      </c>
      <c r="B32" s="140" t="s">
        <v>130</v>
      </c>
      <c r="C32" s="141">
        <f>140+175</f>
        <v>315</v>
      </c>
      <c r="D32" s="141"/>
      <c r="E32" s="142">
        <f>+C32</f>
        <v>315</v>
      </c>
      <c r="F32" s="132">
        <f>+E32/E34</f>
        <v>0.60321715817694366</v>
      </c>
      <c r="G32" s="133">
        <f>+F32*F22</f>
        <v>2904.886508042895</v>
      </c>
      <c r="H32" s="134">
        <f t="shared" si="1"/>
        <v>3417.5135388739941</v>
      </c>
    </row>
    <row r="33" spans="1:8">
      <c r="A33" s="139" t="s">
        <v>131</v>
      </c>
      <c r="B33" s="140">
        <v>408411</v>
      </c>
      <c r="C33" s="141">
        <v>0</v>
      </c>
      <c r="D33" s="141"/>
      <c r="E33" s="142">
        <f>+C33</f>
        <v>0</v>
      </c>
      <c r="F33" s="132">
        <f>+E33/E34</f>
        <v>0</v>
      </c>
      <c r="G33" s="133">
        <f>+F33*F22</f>
        <v>0</v>
      </c>
      <c r="H33" s="134">
        <f t="shared" si="1"/>
        <v>0</v>
      </c>
    </row>
    <row r="34" spans="1:8" ht="16.2" thickBot="1">
      <c r="A34" s="160" t="s">
        <v>132</v>
      </c>
      <c r="B34" s="161"/>
      <c r="C34" s="161"/>
      <c r="D34" s="162"/>
      <c r="E34" s="143">
        <f>SUM(E28:E33)</f>
        <v>522.20000000000005</v>
      </c>
      <c r="F34" s="144">
        <f>SUM(F28:F33)</f>
        <v>0.99999999999999989</v>
      </c>
      <c r="G34" s="145">
        <f>SUM(G28:G33)</f>
        <v>4815.6562999999987</v>
      </c>
      <c r="H34" s="146">
        <f>SUM(H28:H33)</f>
        <v>5665.4779999999992</v>
      </c>
    </row>
    <row r="36" spans="1:8">
      <c r="H36" s="115" t="s">
        <v>136</v>
      </c>
    </row>
    <row r="37" spans="1:8" ht="15.6">
      <c r="A37" s="116" t="s">
        <v>111</v>
      </c>
      <c r="B37" s="117">
        <v>1.38</v>
      </c>
      <c r="E37" s="112" t="s">
        <v>109</v>
      </c>
      <c r="F37" s="113">
        <f>+F38*0.85</f>
        <v>602.99</v>
      </c>
    </row>
    <row r="38" spans="1:8" ht="15.6">
      <c r="A38" s="116" t="s">
        <v>113</v>
      </c>
      <c r="B38" s="117">
        <v>1.48</v>
      </c>
      <c r="E38" s="119" t="s">
        <v>114</v>
      </c>
      <c r="F38" s="120">
        <f>2000*0.3547</f>
        <v>709.4</v>
      </c>
      <c r="G38">
        <f>+F38*0.85</f>
        <v>602.99</v>
      </c>
    </row>
    <row r="39" spans="1:8" ht="15.6">
      <c r="A39" s="116" t="s">
        <v>116</v>
      </c>
      <c r="B39" s="117">
        <v>1.32</v>
      </c>
      <c r="E39" s="119" t="s">
        <v>117</v>
      </c>
      <c r="F39" s="120">
        <f>+G38-G38*0.02</f>
        <v>590.93020000000001</v>
      </c>
      <c r="G39" s="111" t="s">
        <v>118</v>
      </c>
    </row>
    <row r="42" spans="1:8" ht="15" thickBot="1"/>
    <row r="43" spans="1:8" ht="18.600000000000001" thickBot="1">
      <c r="A43" s="158" t="s">
        <v>119</v>
      </c>
      <c r="B43" s="159"/>
      <c r="C43" s="159"/>
      <c r="D43" s="159"/>
      <c r="E43" s="159"/>
      <c r="F43" s="159"/>
      <c r="G43" s="159"/>
      <c r="H43" s="121"/>
    </row>
    <row r="44" spans="1:8" ht="43.2">
      <c r="A44" s="122" t="s">
        <v>120</v>
      </c>
      <c r="B44" s="123" t="s">
        <v>121</v>
      </c>
      <c r="C44" s="123" t="s">
        <v>122</v>
      </c>
      <c r="D44" s="123" t="s">
        <v>123</v>
      </c>
      <c r="E44" s="124"/>
      <c r="F44" s="125" t="s">
        <v>102</v>
      </c>
      <c r="G44" s="126" t="s">
        <v>124</v>
      </c>
      <c r="H44" s="127" t="s">
        <v>125</v>
      </c>
    </row>
    <row r="45" spans="1:8">
      <c r="A45" s="128" t="s">
        <v>126</v>
      </c>
      <c r="B45" s="129" t="s">
        <v>127</v>
      </c>
      <c r="C45" s="130">
        <v>0</v>
      </c>
      <c r="D45" s="130"/>
      <c r="E45" s="131">
        <f>+C45</f>
        <v>0</v>
      </c>
      <c r="F45" s="132">
        <f>+E45/E51</f>
        <v>0</v>
      </c>
      <c r="G45" s="133">
        <f>+F45*F39</f>
        <v>0</v>
      </c>
      <c r="H45" s="134">
        <f t="shared" ref="H45:H50" si="2">+G45*100/85</f>
        <v>0</v>
      </c>
    </row>
    <row r="46" spans="1:8">
      <c r="A46" s="128" t="s">
        <v>128</v>
      </c>
      <c r="B46" s="129">
        <v>480419</v>
      </c>
      <c r="C46" s="130">
        <v>0</v>
      </c>
      <c r="D46" s="130"/>
      <c r="E46" s="131">
        <f>+C46</f>
        <v>0</v>
      </c>
      <c r="F46" s="132">
        <f>+E46/E51</f>
        <v>0</v>
      </c>
      <c r="G46" s="133">
        <f>+F39*F46</f>
        <v>0</v>
      </c>
      <c r="H46" s="134">
        <f t="shared" si="2"/>
        <v>0</v>
      </c>
    </row>
    <row r="47" spans="1:8">
      <c r="A47" s="135" t="s">
        <v>112</v>
      </c>
      <c r="B47" s="136" t="s">
        <v>129</v>
      </c>
      <c r="C47" s="137">
        <v>0</v>
      </c>
      <c r="D47" s="137" t="s">
        <v>111</v>
      </c>
      <c r="E47" s="138">
        <f>C47*B37</f>
        <v>0</v>
      </c>
      <c r="F47" s="132">
        <f>+E47/E51</f>
        <v>0</v>
      </c>
      <c r="G47" s="133">
        <f>+F47*F39</f>
        <v>0</v>
      </c>
      <c r="H47" s="134">
        <f t="shared" si="2"/>
        <v>0</v>
      </c>
    </row>
    <row r="48" spans="1:8">
      <c r="A48" s="135" t="s">
        <v>112</v>
      </c>
      <c r="B48" s="136" t="s">
        <v>129</v>
      </c>
      <c r="C48" s="137">
        <v>140</v>
      </c>
      <c r="D48" s="137" t="s">
        <v>113</v>
      </c>
      <c r="E48" s="138">
        <f>C48*B38</f>
        <v>207.2</v>
      </c>
      <c r="F48" s="132">
        <f>+E48/E51</f>
        <v>0.39678284182305623</v>
      </c>
      <c r="G48" s="133">
        <f>+F39*F48</f>
        <v>234.470964075067</v>
      </c>
      <c r="H48" s="134">
        <f t="shared" si="2"/>
        <v>275.84819302949057</v>
      </c>
    </row>
    <row r="49" spans="1:8">
      <c r="A49" s="139" t="s">
        <v>115</v>
      </c>
      <c r="B49" s="140" t="s">
        <v>130</v>
      </c>
      <c r="C49" s="141">
        <f>140+175</f>
        <v>315</v>
      </c>
      <c r="D49" s="141"/>
      <c r="E49" s="142">
        <f>+C49</f>
        <v>315</v>
      </c>
      <c r="F49" s="132">
        <f>+E49/E51</f>
        <v>0.60321715817694366</v>
      </c>
      <c r="G49" s="133">
        <f>+F49*F39</f>
        <v>356.45923592493295</v>
      </c>
      <c r="H49" s="134">
        <f t="shared" si="2"/>
        <v>419.36380697050936</v>
      </c>
    </row>
    <row r="50" spans="1:8">
      <c r="A50" s="139" t="s">
        <v>131</v>
      </c>
      <c r="B50" s="140">
        <v>408411</v>
      </c>
      <c r="C50" s="141">
        <v>0</v>
      </c>
      <c r="D50" s="141"/>
      <c r="E50" s="142">
        <f>+C50</f>
        <v>0</v>
      </c>
      <c r="F50" s="132">
        <f>+E50/E51</f>
        <v>0</v>
      </c>
      <c r="G50" s="133">
        <f>+F50*F39</f>
        <v>0</v>
      </c>
      <c r="H50" s="134">
        <f t="shared" si="2"/>
        <v>0</v>
      </c>
    </row>
    <row r="51" spans="1:8" ht="16.2" thickBot="1">
      <c r="A51" s="160" t="s">
        <v>132</v>
      </c>
      <c r="B51" s="161"/>
      <c r="C51" s="161"/>
      <c r="D51" s="162"/>
      <c r="E51" s="143">
        <f>SUM(E45:E50)</f>
        <v>522.20000000000005</v>
      </c>
      <c r="F51" s="144">
        <f>SUM(F45:F50)</f>
        <v>0.99999999999999989</v>
      </c>
      <c r="G51" s="145">
        <f>SUM(G45:G50)</f>
        <v>590.93020000000001</v>
      </c>
      <c r="H51" s="146">
        <f>SUM(H45:H50)</f>
        <v>695.21199999999999</v>
      </c>
    </row>
    <row r="53" spans="1:8">
      <c r="H53" s="115" t="s">
        <v>134</v>
      </c>
    </row>
    <row r="54" spans="1:8" ht="15.6">
      <c r="A54" s="116" t="s">
        <v>111</v>
      </c>
      <c r="B54" s="117">
        <v>1.38</v>
      </c>
      <c r="E54" s="112" t="s">
        <v>109</v>
      </c>
      <c r="F54" s="113">
        <f>+F55*0.85</f>
        <v>1994.1</v>
      </c>
    </row>
    <row r="55" spans="1:8" ht="15.6">
      <c r="A55" s="116" t="s">
        <v>113</v>
      </c>
      <c r="B55" s="117">
        <v>1.48</v>
      </c>
      <c r="E55" s="119" t="s">
        <v>114</v>
      </c>
      <c r="F55" s="120">
        <f>3000*0.782</f>
        <v>2346</v>
      </c>
      <c r="G55">
        <f>+F55*0.85</f>
        <v>1994.1</v>
      </c>
    </row>
    <row r="56" spans="1:8" ht="15.6">
      <c r="A56" s="116" t="s">
        <v>116</v>
      </c>
      <c r="B56" s="117">
        <v>1.32</v>
      </c>
      <c r="E56" s="119" t="s">
        <v>117</v>
      </c>
      <c r="F56" s="120">
        <f>+G55-G55*0.02</f>
        <v>1954.2179999999998</v>
      </c>
      <c r="G56" s="111" t="s">
        <v>118</v>
      </c>
    </row>
    <row r="59" spans="1:8" ht="15" thickBot="1"/>
    <row r="60" spans="1:8" ht="18.600000000000001" thickBot="1">
      <c r="A60" s="158" t="s">
        <v>119</v>
      </c>
      <c r="B60" s="159"/>
      <c r="C60" s="159"/>
      <c r="D60" s="159"/>
      <c r="E60" s="159"/>
      <c r="F60" s="159"/>
      <c r="G60" s="159"/>
      <c r="H60" s="121"/>
    </row>
    <row r="61" spans="1:8" ht="43.2">
      <c r="A61" s="122" t="s">
        <v>120</v>
      </c>
      <c r="B61" s="123" t="s">
        <v>121</v>
      </c>
      <c r="C61" s="123" t="s">
        <v>122</v>
      </c>
      <c r="D61" s="123" t="s">
        <v>123</v>
      </c>
      <c r="E61" s="124"/>
      <c r="F61" s="125" t="s">
        <v>102</v>
      </c>
      <c r="G61" s="126" t="s">
        <v>124</v>
      </c>
      <c r="H61" s="127" t="s">
        <v>125</v>
      </c>
    </row>
    <row r="62" spans="1:8">
      <c r="A62" s="128" t="s">
        <v>126</v>
      </c>
      <c r="B62" s="129" t="s">
        <v>127</v>
      </c>
      <c r="C62" s="130">
        <v>0</v>
      </c>
      <c r="D62" s="130"/>
      <c r="E62" s="131">
        <f>+C62</f>
        <v>0</v>
      </c>
      <c r="F62" s="132">
        <f>+E62/E68</f>
        <v>0</v>
      </c>
      <c r="G62" s="133">
        <f>+F62*F56</f>
        <v>0</v>
      </c>
      <c r="H62" s="134">
        <f t="shared" ref="H62:H67" si="3">+G62*100/85</f>
        <v>0</v>
      </c>
    </row>
    <row r="63" spans="1:8">
      <c r="A63" s="128" t="s">
        <v>128</v>
      </c>
      <c r="B63" s="129">
        <v>480419</v>
      </c>
      <c r="C63" s="130">
        <v>0</v>
      </c>
      <c r="D63" s="130"/>
      <c r="E63" s="131">
        <f>+C63</f>
        <v>0</v>
      </c>
      <c r="F63" s="132">
        <f>+E63/E68</f>
        <v>0</v>
      </c>
      <c r="G63" s="133">
        <f>+F56*F63</f>
        <v>0</v>
      </c>
      <c r="H63" s="134">
        <f t="shared" si="3"/>
        <v>0</v>
      </c>
    </row>
    <row r="64" spans="1:8">
      <c r="A64" s="135" t="s">
        <v>112</v>
      </c>
      <c r="B64" s="136" t="s">
        <v>129</v>
      </c>
      <c r="C64" s="137">
        <v>110</v>
      </c>
      <c r="D64" s="137" t="s">
        <v>111</v>
      </c>
      <c r="E64" s="138">
        <f>C64*B54</f>
        <v>151.79999999999998</v>
      </c>
      <c r="F64" s="132">
        <f>+E64/E68</f>
        <v>0.22502223539875479</v>
      </c>
      <c r="G64" s="133">
        <f>+F64*F56</f>
        <v>439.74250281648375</v>
      </c>
      <c r="H64" s="134">
        <f t="shared" si="3"/>
        <v>517.34412096056917</v>
      </c>
    </row>
    <row r="65" spans="1:8">
      <c r="A65" s="135" t="s">
        <v>112</v>
      </c>
      <c r="B65" s="136" t="s">
        <v>129</v>
      </c>
      <c r="C65" s="137">
        <v>110</v>
      </c>
      <c r="D65" s="137" t="s">
        <v>113</v>
      </c>
      <c r="E65" s="138">
        <f>C65*B55</f>
        <v>162.80000000000001</v>
      </c>
      <c r="F65" s="132">
        <f>+E65/E68</f>
        <v>0.24132819448562112</v>
      </c>
      <c r="G65" s="133">
        <f>+F56*F65</f>
        <v>471.60790157130151</v>
      </c>
      <c r="H65" s="134">
        <f t="shared" si="3"/>
        <v>554.83282537800176</v>
      </c>
    </row>
    <row r="66" spans="1:8">
      <c r="A66" s="139" t="s">
        <v>115</v>
      </c>
      <c r="B66" s="140" t="s">
        <v>130</v>
      </c>
      <c r="C66" s="141">
        <f>120+120+120</f>
        <v>360</v>
      </c>
      <c r="D66" s="141"/>
      <c r="E66" s="142">
        <f>+C66</f>
        <v>360</v>
      </c>
      <c r="F66" s="132">
        <f>+E66/E68</f>
        <v>0.53364957011562408</v>
      </c>
      <c r="G66" s="133">
        <f>+F66*F56</f>
        <v>1042.8675956122145</v>
      </c>
      <c r="H66" s="134">
        <f t="shared" si="3"/>
        <v>1226.9030536614289</v>
      </c>
    </row>
    <row r="67" spans="1:8">
      <c r="A67" s="139" t="s">
        <v>131</v>
      </c>
      <c r="B67" s="140">
        <v>408411</v>
      </c>
      <c r="C67" s="141">
        <v>0</v>
      </c>
      <c r="D67" s="141"/>
      <c r="E67" s="142">
        <f>+C67</f>
        <v>0</v>
      </c>
      <c r="F67" s="132">
        <f>+E67/E68</f>
        <v>0</v>
      </c>
      <c r="G67" s="133">
        <f>+F67*F56</f>
        <v>0</v>
      </c>
      <c r="H67" s="134">
        <f t="shared" si="3"/>
        <v>0</v>
      </c>
    </row>
    <row r="68" spans="1:8" ht="16.2" thickBot="1">
      <c r="A68" s="160" t="s">
        <v>132</v>
      </c>
      <c r="B68" s="161"/>
      <c r="C68" s="161"/>
      <c r="D68" s="162"/>
      <c r="E68" s="143">
        <f>SUM(E62:E67)</f>
        <v>674.6</v>
      </c>
      <c r="F68" s="144">
        <f>SUM(F62:F67)</f>
        <v>1</v>
      </c>
      <c r="G68" s="145">
        <f>SUM(G62:G67)</f>
        <v>1954.2179999999998</v>
      </c>
      <c r="H68" s="146">
        <f>SUM(H62:H67)</f>
        <v>2299.08</v>
      </c>
    </row>
    <row r="70" spans="1:8">
      <c r="H70" s="115" t="s">
        <v>137</v>
      </c>
    </row>
    <row r="71" spans="1:8" ht="15.6">
      <c r="A71" s="116" t="s">
        <v>111</v>
      </c>
      <c r="B71" s="117">
        <v>1.38</v>
      </c>
      <c r="E71" s="112" t="s">
        <v>109</v>
      </c>
      <c r="F71" s="113">
        <f>+F72*0.85</f>
        <v>1625.8799999999997</v>
      </c>
    </row>
    <row r="72" spans="1:8" ht="15.6">
      <c r="A72" s="116" t="s">
        <v>113</v>
      </c>
      <c r="B72" s="117">
        <v>1.48</v>
      </c>
      <c r="E72" s="119" t="s">
        <v>114</v>
      </c>
      <c r="F72" s="120">
        <f>3000*0.6376</f>
        <v>1912.7999999999997</v>
      </c>
      <c r="G72">
        <f>+F72*0.85</f>
        <v>1625.8799999999997</v>
      </c>
    </row>
    <row r="73" spans="1:8" ht="15.6">
      <c r="A73" s="116" t="s">
        <v>116</v>
      </c>
      <c r="B73" s="117">
        <v>1.32</v>
      </c>
      <c r="E73" s="119" t="s">
        <v>117</v>
      </c>
      <c r="F73" s="120">
        <f>+G72-G72*0.02</f>
        <v>1593.3623999999998</v>
      </c>
      <c r="G73" s="111" t="s">
        <v>118</v>
      </c>
    </row>
    <row r="76" spans="1:8" ht="15" thickBot="1"/>
    <row r="77" spans="1:8" ht="18.600000000000001" thickBot="1">
      <c r="A77" s="158" t="s">
        <v>119</v>
      </c>
      <c r="B77" s="159"/>
      <c r="C77" s="159"/>
      <c r="D77" s="159"/>
      <c r="E77" s="159"/>
      <c r="F77" s="159"/>
      <c r="G77" s="159"/>
      <c r="H77" s="121"/>
    </row>
    <row r="78" spans="1:8" ht="43.2">
      <c r="A78" s="122" t="s">
        <v>120</v>
      </c>
      <c r="B78" s="123" t="s">
        <v>121</v>
      </c>
      <c r="C78" s="123" t="s">
        <v>122</v>
      </c>
      <c r="D78" s="123" t="s">
        <v>123</v>
      </c>
      <c r="E78" s="124"/>
      <c r="F78" s="125" t="s">
        <v>102</v>
      </c>
      <c r="G78" s="126" t="s">
        <v>124</v>
      </c>
      <c r="H78" s="127" t="s">
        <v>125</v>
      </c>
    </row>
    <row r="79" spans="1:8">
      <c r="A79" s="128" t="s">
        <v>126</v>
      </c>
      <c r="B79" s="129" t="s">
        <v>127</v>
      </c>
      <c r="C79" s="130">
        <v>0</v>
      </c>
      <c r="D79" s="130"/>
      <c r="E79" s="131">
        <f>+C79</f>
        <v>0</v>
      </c>
      <c r="F79" s="132">
        <f>+E79/E85</f>
        <v>0</v>
      </c>
      <c r="G79" s="133">
        <f>+F79*F73</f>
        <v>0</v>
      </c>
      <c r="H79" s="134">
        <f t="shared" ref="H79:H84" si="4">+G79*100/85</f>
        <v>0</v>
      </c>
    </row>
    <row r="80" spans="1:8">
      <c r="A80" s="128" t="s">
        <v>128</v>
      </c>
      <c r="B80" s="129">
        <v>480419</v>
      </c>
      <c r="C80" s="130">
        <v>0</v>
      </c>
      <c r="D80" s="130"/>
      <c r="E80" s="131">
        <f>+C80</f>
        <v>0</v>
      </c>
      <c r="F80" s="132">
        <f>+E80/E85</f>
        <v>0</v>
      </c>
      <c r="G80" s="133">
        <f>+F73*F80</f>
        <v>0</v>
      </c>
      <c r="H80" s="134">
        <f t="shared" si="4"/>
        <v>0</v>
      </c>
    </row>
    <row r="81" spans="1:8">
      <c r="A81" s="135" t="s">
        <v>112</v>
      </c>
      <c r="B81" s="136" t="s">
        <v>129</v>
      </c>
      <c r="C81" s="137">
        <v>110</v>
      </c>
      <c r="D81" s="137" t="s">
        <v>111</v>
      </c>
      <c r="E81" s="138">
        <f>C81*B71</f>
        <v>151.79999999999998</v>
      </c>
      <c r="F81" s="132">
        <f>+E81/E85</f>
        <v>0.22502223539875479</v>
      </c>
      <c r="G81" s="133">
        <f>+F81*F73</f>
        <v>358.54196904832486</v>
      </c>
      <c r="H81" s="134">
        <f t="shared" si="4"/>
        <v>421.81408123332335</v>
      </c>
    </row>
    <row r="82" spans="1:8">
      <c r="A82" s="135" t="s">
        <v>112</v>
      </c>
      <c r="B82" s="136" t="s">
        <v>129</v>
      </c>
      <c r="C82" s="137">
        <v>110</v>
      </c>
      <c r="D82" s="137" t="s">
        <v>113</v>
      </c>
      <c r="E82" s="138">
        <f>C82*B72</f>
        <v>162.80000000000001</v>
      </c>
      <c r="F82" s="132">
        <f>+E82/E85</f>
        <v>0.24132819448562112</v>
      </c>
      <c r="G82" s="133">
        <f>+F73*F82</f>
        <v>384.52327115327597</v>
      </c>
      <c r="H82" s="134">
        <f t="shared" si="4"/>
        <v>452.38031900385414</v>
      </c>
    </row>
    <row r="83" spans="1:8">
      <c r="A83" s="139" t="s">
        <v>115</v>
      </c>
      <c r="B83" s="140" t="s">
        <v>130</v>
      </c>
      <c r="C83" s="141">
        <f>120+120+120</f>
        <v>360</v>
      </c>
      <c r="D83" s="141"/>
      <c r="E83" s="142">
        <f>+C83</f>
        <v>360</v>
      </c>
      <c r="F83" s="132">
        <f>+E83/E85</f>
        <v>0.53364957011562408</v>
      </c>
      <c r="G83" s="133">
        <f>+F83*F73</f>
        <v>850.29715979839898</v>
      </c>
      <c r="H83" s="134">
        <f t="shared" si="4"/>
        <v>1000.3495997628223</v>
      </c>
    </row>
    <row r="84" spans="1:8">
      <c r="A84" s="139" t="s">
        <v>131</v>
      </c>
      <c r="B84" s="140">
        <v>408411</v>
      </c>
      <c r="C84" s="141">
        <v>0</v>
      </c>
      <c r="D84" s="141"/>
      <c r="E84" s="142">
        <f>+C84</f>
        <v>0</v>
      </c>
      <c r="F84" s="132">
        <f>+E84/E85</f>
        <v>0</v>
      </c>
      <c r="G84" s="133">
        <f>+F84*F73</f>
        <v>0</v>
      </c>
      <c r="H84" s="134">
        <f t="shared" si="4"/>
        <v>0</v>
      </c>
    </row>
    <row r="85" spans="1:8" ht="16.2" thickBot="1">
      <c r="A85" s="160" t="s">
        <v>132</v>
      </c>
      <c r="B85" s="161"/>
      <c r="C85" s="161"/>
      <c r="D85" s="162"/>
      <c r="E85" s="143">
        <f>SUM(E79:E84)</f>
        <v>674.6</v>
      </c>
      <c r="F85" s="144">
        <f>SUM(F79:F84)</f>
        <v>1</v>
      </c>
      <c r="G85" s="145">
        <f>SUM(G79:G84)</f>
        <v>1593.3623999999998</v>
      </c>
      <c r="H85" s="146">
        <f>SUM(H79:H84)</f>
        <v>1874.5439999999999</v>
      </c>
    </row>
  </sheetData>
  <mergeCells count="10">
    <mergeCell ref="A60:G60"/>
    <mergeCell ref="A68:D68"/>
    <mergeCell ref="A77:G77"/>
    <mergeCell ref="A85:D85"/>
    <mergeCell ref="A9:G9"/>
    <mergeCell ref="A17:D17"/>
    <mergeCell ref="A26:G26"/>
    <mergeCell ref="A34:D34"/>
    <mergeCell ref="A43:G43"/>
    <mergeCell ref="A51:D51"/>
  </mergeCells>
  <pageMargins left="0.25" right="0.25" top="0.75" bottom="0.75" header="0.3" footer="0.3"/>
  <pageSetup paperSize="9" scale="51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O20"/>
  <sheetViews>
    <sheetView tabSelected="1" workbookViewId="0">
      <selection activeCell="O13" sqref="O13"/>
    </sheetView>
  </sheetViews>
  <sheetFormatPr defaultColWidth="11.5546875" defaultRowHeight="14.4"/>
  <cols>
    <col min="3" max="3" width="13.88671875" customWidth="1"/>
    <col min="6" max="6" width="15.88671875" bestFit="1" customWidth="1"/>
    <col min="7" max="7" width="15.88671875" customWidth="1"/>
    <col min="8" max="8" width="14.88671875" customWidth="1"/>
    <col min="10" max="10" width="13.109375" customWidth="1"/>
    <col min="11" max="11" width="28.5546875" bestFit="1" customWidth="1"/>
    <col min="12" max="12" width="13.5546875" bestFit="1" customWidth="1"/>
  </cols>
  <sheetData>
    <row r="2" spans="1:15" ht="17.399999999999999">
      <c r="A2" s="67" t="s">
        <v>61</v>
      </c>
      <c r="B2" s="67"/>
      <c r="C2" s="67"/>
      <c r="D2" s="67"/>
      <c r="E2" s="67"/>
      <c r="F2" s="67"/>
      <c r="G2" s="67"/>
      <c r="H2" s="67"/>
      <c r="I2" s="68"/>
      <c r="J2" s="68"/>
      <c r="K2" s="67"/>
      <c r="L2" s="67" t="s">
        <v>62</v>
      </c>
      <c r="M2" s="69"/>
    </row>
    <row r="3" spans="1:15" ht="15.6">
      <c r="A3" s="55" t="s">
        <v>63</v>
      </c>
      <c r="B3" s="55"/>
      <c r="C3" s="55"/>
      <c r="D3" s="55"/>
      <c r="E3" s="70" t="s">
        <v>64</v>
      </c>
      <c r="F3" s="71"/>
      <c r="G3" s="72" t="s">
        <v>65</v>
      </c>
      <c r="H3" s="73"/>
      <c r="I3" s="74"/>
      <c r="J3" s="74"/>
      <c r="K3" s="75" t="s">
        <v>66</v>
      </c>
      <c r="L3" s="76" t="s">
        <v>67</v>
      </c>
      <c r="M3" s="77"/>
    </row>
    <row r="4" spans="1:15" ht="15.6">
      <c r="A4" s="55" t="s">
        <v>68</v>
      </c>
      <c r="B4" s="55"/>
      <c r="C4" s="78"/>
      <c r="D4" s="55" t="s">
        <v>69</v>
      </c>
      <c r="E4" s="79" t="s">
        <v>70</v>
      </c>
      <c r="F4" s="80"/>
      <c r="G4" s="72" t="s">
        <v>71</v>
      </c>
      <c r="H4" s="73"/>
      <c r="I4" s="74"/>
      <c r="J4" s="74"/>
      <c r="K4" s="75"/>
      <c r="L4" s="81"/>
      <c r="M4" s="82" t="s">
        <v>72</v>
      </c>
    </row>
    <row r="5" spans="1:15" ht="15.6">
      <c r="A5" s="83"/>
      <c r="B5" s="83" t="s">
        <v>73</v>
      </c>
      <c r="C5" s="83"/>
      <c r="D5" s="83"/>
      <c r="E5" s="83"/>
      <c r="F5" s="83"/>
      <c r="G5" s="83"/>
      <c r="H5" s="83"/>
      <c r="I5" s="84"/>
      <c r="J5" s="84"/>
      <c r="K5" s="83"/>
      <c r="L5" s="83"/>
      <c r="M5" s="83"/>
    </row>
    <row r="6" spans="1:15" ht="15.6">
      <c r="A6" s="75" t="s">
        <v>46</v>
      </c>
      <c r="B6" s="75"/>
      <c r="C6" s="75" t="s">
        <v>74</v>
      </c>
      <c r="D6" s="78" t="s">
        <v>75</v>
      </c>
      <c r="E6" s="85"/>
      <c r="F6" s="85"/>
      <c r="G6" s="75" t="s">
        <v>76</v>
      </c>
      <c r="H6" s="75"/>
      <c r="I6" s="86"/>
      <c r="J6" s="86"/>
      <c r="K6" s="75"/>
      <c r="L6" s="75"/>
      <c r="M6" s="87"/>
    </row>
    <row r="7" spans="1:15" ht="15.6">
      <c r="A7" s="75"/>
      <c r="B7" s="75"/>
      <c r="C7" s="75" t="s">
        <v>77</v>
      </c>
      <c r="D7" s="75"/>
      <c r="E7" s="75"/>
      <c r="F7" s="75"/>
      <c r="G7" s="75"/>
      <c r="H7" s="75"/>
      <c r="I7" s="74"/>
      <c r="J7" s="74"/>
      <c r="K7" s="83"/>
      <c r="L7" s="75"/>
      <c r="M7" s="87"/>
    </row>
    <row r="8" spans="1:15" ht="15.6">
      <c r="A8" s="83"/>
      <c r="B8" s="83"/>
      <c r="C8" s="75" t="s">
        <v>78</v>
      </c>
      <c r="D8" s="83"/>
      <c r="E8" s="83"/>
      <c r="F8" s="83"/>
      <c r="G8" s="84" t="s">
        <v>79</v>
      </c>
      <c r="H8" s="88" t="s">
        <v>144</v>
      </c>
      <c r="I8" s="83"/>
      <c r="J8" s="89"/>
      <c r="K8" s="46"/>
      <c r="L8" s="83"/>
      <c r="M8" s="89"/>
    </row>
    <row r="9" spans="1:15" ht="16.2" thickBot="1">
      <c r="A9" s="83"/>
      <c r="B9" s="83"/>
      <c r="C9" s="83"/>
      <c r="D9" s="83"/>
      <c r="E9" s="83"/>
      <c r="F9" s="83"/>
      <c r="G9" s="83"/>
      <c r="H9" s="55"/>
      <c r="I9" s="84"/>
      <c r="J9" s="84"/>
      <c r="K9" s="46"/>
      <c r="L9" s="83"/>
      <c r="M9" s="89"/>
    </row>
    <row r="10" spans="1:15" ht="15" thickTop="1">
      <c r="A10" s="90" t="s">
        <v>80</v>
      </c>
      <c r="B10" s="91" t="s">
        <v>81</v>
      </c>
      <c r="C10" s="92"/>
      <c r="D10" s="92"/>
      <c r="E10" s="92"/>
      <c r="F10" s="93"/>
      <c r="G10" s="91" t="s">
        <v>82</v>
      </c>
      <c r="H10" s="93"/>
      <c r="I10" s="94" t="s">
        <v>83</v>
      </c>
      <c r="J10" s="95"/>
      <c r="K10" s="92" t="s">
        <v>84</v>
      </c>
      <c r="L10" s="96"/>
    </row>
    <row r="11" spans="1:15">
      <c r="A11" s="97" t="s">
        <v>67</v>
      </c>
      <c r="B11" s="98" t="s">
        <v>85</v>
      </c>
      <c r="C11" s="99"/>
      <c r="D11" s="99"/>
      <c r="E11" s="99"/>
      <c r="F11" s="100"/>
      <c r="G11" s="98" t="s">
        <v>86</v>
      </c>
      <c r="H11" s="100"/>
      <c r="I11" s="101" t="s">
        <v>87</v>
      </c>
      <c r="J11" s="102"/>
      <c r="K11" s="99" t="s">
        <v>88</v>
      </c>
      <c r="L11" s="103"/>
    </row>
    <row r="12" spans="1:15">
      <c r="A12" s="97" t="s">
        <v>89</v>
      </c>
      <c r="B12" s="104" t="s">
        <v>90</v>
      </c>
      <c r="C12" s="104" t="s">
        <v>91</v>
      </c>
      <c r="D12" s="104" t="s">
        <v>92</v>
      </c>
      <c r="E12" s="104" t="s">
        <v>93</v>
      </c>
      <c r="F12" s="104" t="s">
        <v>94</v>
      </c>
      <c r="G12" s="104" t="s">
        <v>95</v>
      </c>
      <c r="H12" s="105" t="s">
        <v>96</v>
      </c>
      <c r="I12" s="106" t="s">
        <v>97</v>
      </c>
      <c r="J12" s="106"/>
      <c r="K12" s="107" t="s">
        <v>98</v>
      </c>
      <c r="L12" s="108" t="s">
        <v>99</v>
      </c>
    </row>
    <row r="13" spans="1:15">
      <c r="A13" s="97" t="s">
        <v>100</v>
      </c>
      <c r="B13" s="167" t="s">
        <v>101</v>
      </c>
      <c r="C13" s="167"/>
      <c r="D13" s="167"/>
      <c r="E13" s="167"/>
      <c r="F13" s="167"/>
      <c r="G13" s="169"/>
      <c r="H13" s="169"/>
      <c r="I13" s="101" t="s">
        <v>102</v>
      </c>
      <c r="J13" s="102"/>
      <c r="K13" s="171"/>
      <c r="L13" s="172" t="s">
        <v>103</v>
      </c>
      <c r="O13" s="109"/>
    </row>
    <row r="14" spans="1:15" ht="18">
      <c r="A14" s="165"/>
      <c r="B14" s="165">
        <v>100</v>
      </c>
      <c r="C14" s="168">
        <v>45379</v>
      </c>
      <c r="D14" s="165" t="s">
        <v>141</v>
      </c>
      <c r="E14" s="165"/>
      <c r="F14" s="165" t="s">
        <v>104</v>
      </c>
      <c r="G14" s="165" t="s">
        <v>105</v>
      </c>
      <c r="H14" s="165">
        <v>4805249000</v>
      </c>
      <c r="I14" s="170">
        <v>0.15</v>
      </c>
      <c r="J14" s="165" t="s">
        <v>106</v>
      </c>
      <c r="K14" s="165">
        <v>1206.72</v>
      </c>
      <c r="L14" s="173" t="s">
        <v>107</v>
      </c>
    </row>
    <row r="15" spans="1:15" ht="18">
      <c r="A15" s="175"/>
      <c r="B15" s="175"/>
      <c r="C15" s="175"/>
      <c r="D15" s="175"/>
      <c r="E15" s="175"/>
      <c r="F15" s="175"/>
      <c r="G15" s="175"/>
      <c r="H15" s="175"/>
      <c r="I15" s="175"/>
      <c r="J15" s="175" t="s">
        <v>108</v>
      </c>
      <c r="K15" s="175">
        <v>1025.712</v>
      </c>
      <c r="L15" s="176"/>
      <c r="O15" s="109"/>
    </row>
    <row r="16" spans="1:15" ht="18">
      <c r="A16" s="165"/>
      <c r="B16" s="165">
        <v>309</v>
      </c>
      <c r="C16" s="168">
        <v>45425</v>
      </c>
      <c r="D16" s="165" t="s">
        <v>142</v>
      </c>
      <c r="E16" s="165"/>
      <c r="F16" s="165" t="s">
        <v>104</v>
      </c>
      <c r="G16" s="165" t="s">
        <v>105</v>
      </c>
      <c r="H16" s="165">
        <v>4805190000</v>
      </c>
      <c r="I16" s="170">
        <v>0.15</v>
      </c>
      <c r="J16" s="165" t="s">
        <v>106</v>
      </c>
      <c r="K16" s="165">
        <v>818.55840000000012</v>
      </c>
      <c r="L16" s="173" t="s">
        <v>107</v>
      </c>
    </row>
    <row r="17" spans="1:13" ht="18">
      <c r="A17" s="166"/>
      <c r="B17" s="166"/>
      <c r="C17" s="166"/>
      <c r="D17" s="166"/>
      <c r="E17" s="166"/>
      <c r="F17" s="166"/>
      <c r="G17" s="166"/>
      <c r="H17" s="166"/>
      <c r="I17" s="166"/>
      <c r="J17" s="166" t="s">
        <v>108</v>
      </c>
      <c r="K17" s="166">
        <v>695.77464000000009</v>
      </c>
      <c r="L17" s="174"/>
    </row>
    <row r="18" spans="1:13">
      <c r="M18" s="110"/>
    </row>
    <row r="20" spans="1:13" ht="18">
      <c r="K20" s="163" t="s">
        <v>143</v>
      </c>
      <c r="L20" s="164">
        <v>1755.9163728000001</v>
      </c>
    </row>
  </sheetData>
  <pageMargins left="0.25" right="0.25" top="0.75" bottom="0.75" header="0.3" footer="0.3"/>
  <pageSetup paperSize="9" scale="68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7:H68"/>
  <sheetViews>
    <sheetView workbookViewId="0">
      <selection activeCell="I44" sqref="I44"/>
    </sheetView>
  </sheetViews>
  <sheetFormatPr defaultColWidth="11.5546875" defaultRowHeight="14.4"/>
  <cols>
    <col min="1" max="1" width="8" customWidth="1"/>
    <col min="3" max="3" width="25.6640625" customWidth="1"/>
    <col min="4" max="4" width="16.109375" customWidth="1"/>
    <col min="5" max="5" width="16.44140625" customWidth="1"/>
    <col min="6" max="6" width="13" bestFit="1" customWidth="1"/>
    <col min="7" max="7" width="17.33203125" customWidth="1"/>
    <col min="8" max="8" width="21.6640625" customWidth="1"/>
  </cols>
  <sheetData>
    <row r="7" spans="1:8" ht="17.399999999999999">
      <c r="A7" s="45"/>
      <c r="G7" s="46" t="s">
        <v>139</v>
      </c>
      <c r="H7" s="47"/>
    </row>
    <row r="8" spans="1:8" ht="17.399999999999999">
      <c r="A8" s="45"/>
    </row>
    <row r="9" spans="1:8">
      <c r="A9" s="48"/>
    </row>
    <row r="10" spans="1:8" ht="15.6">
      <c r="A10" s="46"/>
      <c r="B10" s="46"/>
      <c r="C10" s="46"/>
      <c r="D10" s="46"/>
      <c r="E10" s="46"/>
      <c r="F10" s="46"/>
      <c r="G10" s="46"/>
      <c r="H10" s="46"/>
    </row>
    <row r="11" spans="1:8" ht="15.6">
      <c r="A11" s="46"/>
      <c r="B11" s="49"/>
      <c r="C11" s="49"/>
      <c r="D11" s="49"/>
      <c r="E11" s="49"/>
      <c r="F11" s="49"/>
      <c r="G11" s="49"/>
      <c r="H11" s="49"/>
    </row>
    <row r="12" spans="1:8" ht="15.6">
      <c r="A12" s="46"/>
      <c r="B12" s="49"/>
      <c r="C12" s="49"/>
      <c r="D12" s="49"/>
      <c r="E12" s="49"/>
      <c r="F12" s="49"/>
      <c r="G12" s="49"/>
      <c r="H12" s="49"/>
    </row>
    <row r="13" spans="1:8" ht="15.6">
      <c r="A13" s="46"/>
      <c r="B13" s="49"/>
      <c r="C13" s="49"/>
      <c r="D13" s="49"/>
      <c r="E13" s="49"/>
      <c r="F13" s="49" t="s">
        <v>41</v>
      </c>
      <c r="G13" s="49"/>
      <c r="H13" s="49"/>
    </row>
    <row r="14" spans="1:8" ht="15.6">
      <c r="A14" s="46"/>
      <c r="B14" s="49"/>
      <c r="C14" s="49"/>
      <c r="D14" s="49"/>
      <c r="E14" s="49"/>
      <c r="F14" s="49" t="s">
        <v>42</v>
      </c>
      <c r="G14" s="49"/>
      <c r="H14" s="49"/>
    </row>
    <row r="15" spans="1:8" ht="15.6">
      <c r="A15" s="46"/>
      <c r="B15" s="49"/>
      <c r="C15" s="49"/>
      <c r="D15" s="49"/>
      <c r="E15" s="49"/>
      <c r="F15" s="49"/>
      <c r="G15" s="49"/>
      <c r="H15" s="49"/>
    </row>
    <row r="16" spans="1:8" ht="15.6">
      <c r="A16" s="46"/>
      <c r="B16" s="49"/>
      <c r="C16" s="49"/>
      <c r="D16" s="49"/>
      <c r="E16" s="49"/>
      <c r="F16" s="49"/>
      <c r="G16" s="49"/>
      <c r="H16" s="49"/>
    </row>
    <row r="17" spans="1:8" ht="15.6">
      <c r="A17" s="46"/>
      <c r="B17" s="49"/>
      <c r="C17" s="49"/>
      <c r="D17" s="49"/>
      <c r="E17" s="49"/>
      <c r="F17" s="49"/>
      <c r="G17" s="49"/>
      <c r="H17" s="49"/>
    </row>
    <row r="18" spans="1:8" ht="15.6">
      <c r="A18" s="46"/>
      <c r="B18" s="49"/>
      <c r="C18" s="49"/>
      <c r="D18" s="49"/>
      <c r="E18" s="49"/>
      <c r="F18" s="49"/>
      <c r="G18" s="49"/>
      <c r="H18" s="49"/>
    </row>
    <row r="19" spans="1:8" ht="15.6">
      <c r="A19" s="50"/>
      <c r="B19" s="51" t="s">
        <v>43</v>
      </c>
      <c r="C19" s="49" t="s">
        <v>44</v>
      </c>
      <c r="D19" s="49"/>
      <c r="E19" s="49"/>
      <c r="F19" s="49"/>
      <c r="G19" s="49"/>
      <c r="H19" s="49"/>
    </row>
    <row r="20" spans="1:8" ht="15.6">
      <c r="A20" s="46" t="s">
        <v>45</v>
      </c>
      <c r="B20" s="49"/>
      <c r="C20" s="49"/>
      <c r="D20" s="49"/>
      <c r="E20" s="49"/>
      <c r="F20" s="49"/>
      <c r="G20" s="49"/>
      <c r="H20" s="49"/>
    </row>
    <row r="21" spans="1:8" ht="15.6">
      <c r="A21" s="46"/>
      <c r="B21" s="49"/>
      <c r="C21" s="49"/>
      <c r="D21" s="49"/>
      <c r="E21" s="49"/>
      <c r="F21" s="49"/>
      <c r="G21" s="49"/>
      <c r="H21" s="49"/>
    </row>
    <row r="22" spans="1:8" ht="15.6">
      <c r="A22" s="46" t="s">
        <v>46</v>
      </c>
      <c r="B22" s="49"/>
      <c r="C22" s="49"/>
      <c r="D22" s="49"/>
      <c r="E22" s="49"/>
      <c r="F22" s="49"/>
      <c r="G22" s="49"/>
      <c r="H22" s="49"/>
    </row>
    <row r="23" spans="1:8" ht="15.6">
      <c r="A23" s="46"/>
      <c r="B23" s="52" t="s">
        <v>47</v>
      </c>
      <c r="C23" s="49"/>
      <c r="D23" s="49"/>
      <c r="E23" s="49"/>
      <c r="F23" s="49"/>
      <c r="G23" s="49"/>
      <c r="H23" s="49"/>
    </row>
    <row r="24" spans="1:8" ht="15.6">
      <c r="A24" s="46"/>
      <c r="B24" s="52"/>
      <c r="C24" s="49"/>
      <c r="D24" s="49"/>
      <c r="E24" s="49"/>
      <c r="F24" s="49"/>
      <c r="G24" s="49"/>
      <c r="H24" s="49"/>
    </row>
    <row r="25" spans="1:8" ht="15.6">
      <c r="A25" s="46"/>
      <c r="B25" s="49"/>
      <c r="C25" s="53" t="s">
        <v>48</v>
      </c>
      <c r="D25" s="49" t="s">
        <v>27</v>
      </c>
      <c r="E25" s="49"/>
      <c r="F25" s="49"/>
      <c r="G25" s="49"/>
      <c r="H25" s="49"/>
    </row>
    <row r="26" spans="1:8" ht="15.6">
      <c r="A26" s="46"/>
      <c r="B26" s="49"/>
      <c r="C26" s="53" t="s">
        <v>49</v>
      </c>
      <c r="D26" s="49" t="s">
        <v>138</v>
      </c>
      <c r="E26" s="49"/>
      <c r="F26" s="49"/>
      <c r="G26" s="49"/>
      <c r="H26" s="49"/>
    </row>
    <row r="27" spans="1:8" ht="15.6">
      <c r="A27" s="46"/>
      <c r="B27" s="49"/>
      <c r="C27" s="53"/>
      <c r="D27" s="49"/>
      <c r="E27" s="49"/>
      <c r="F27" s="49"/>
      <c r="G27" s="49"/>
      <c r="H27" s="49"/>
    </row>
    <row r="28" spans="1:8" ht="15.6">
      <c r="A28" s="46"/>
      <c r="B28" s="49"/>
      <c r="C28" s="53"/>
      <c r="D28" s="49"/>
      <c r="E28" s="49"/>
      <c r="F28" s="49"/>
      <c r="G28" s="49"/>
      <c r="H28" s="49"/>
    </row>
    <row r="29" spans="1:8" ht="15.6">
      <c r="A29" s="46"/>
      <c r="B29" s="52"/>
      <c r="C29" s="49"/>
      <c r="D29" s="49"/>
      <c r="E29" s="49"/>
      <c r="F29" s="49"/>
      <c r="G29" s="49"/>
      <c r="H29" s="49"/>
    </row>
    <row r="30" spans="1:8" ht="15.6">
      <c r="A30" s="46"/>
      <c r="B30" s="52"/>
      <c r="C30" s="49"/>
      <c r="D30" s="49"/>
      <c r="E30" s="49"/>
      <c r="F30" s="49"/>
      <c r="G30" s="49"/>
      <c r="H30" s="49"/>
    </row>
    <row r="31" spans="1:8" ht="15.6">
      <c r="A31" s="46"/>
      <c r="B31" s="52" t="s">
        <v>50</v>
      </c>
      <c r="C31" s="49"/>
      <c r="D31" s="49"/>
      <c r="E31" s="49"/>
      <c r="F31" s="49"/>
      <c r="G31" s="49"/>
      <c r="H31" s="49"/>
    </row>
    <row r="32" spans="1:8" ht="15.6">
      <c r="A32" s="46"/>
      <c r="B32" s="52" t="s">
        <v>51</v>
      </c>
      <c r="C32" s="49"/>
      <c r="D32" s="49"/>
      <c r="E32" s="49"/>
      <c r="F32" s="49"/>
      <c r="G32" s="49"/>
      <c r="H32" s="49"/>
    </row>
    <row r="33" spans="1:8" ht="15.6">
      <c r="A33" s="46"/>
      <c r="B33" s="52"/>
      <c r="C33" s="49"/>
      <c r="D33" s="52"/>
      <c r="E33" s="52"/>
      <c r="F33" s="52"/>
      <c r="G33" s="52"/>
      <c r="H33" s="49"/>
    </row>
    <row r="34" spans="1:8" ht="15.6">
      <c r="A34" s="46"/>
      <c r="B34" s="49"/>
      <c r="C34" s="49"/>
      <c r="D34" s="52"/>
      <c r="E34" s="52"/>
      <c r="F34" s="52"/>
      <c r="G34" s="49"/>
      <c r="H34" s="49"/>
    </row>
    <row r="35" spans="1:8" ht="15.6">
      <c r="A35" s="46"/>
      <c r="B35" s="49"/>
      <c r="C35" s="49"/>
      <c r="D35" s="49"/>
      <c r="E35" s="49"/>
      <c r="F35" s="54"/>
      <c r="G35" s="49"/>
      <c r="H35" s="49"/>
    </row>
    <row r="36" spans="1:8" ht="15.6">
      <c r="A36" s="46"/>
      <c r="B36" s="49"/>
      <c r="C36" s="49" t="s">
        <v>52</v>
      </c>
      <c r="D36" s="49" t="s">
        <v>140</v>
      </c>
      <c r="E36" s="49"/>
      <c r="F36" s="49"/>
      <c r="G36" s="49"/>
      <c r="H36" s="49"/>
    </row>
    <row r="37" spans="1:8" ht="15.6">
      <c r="A37" s="46"/>
      <c r="B37" s="49"/>
      <c r="C37" s="49" t="s">
        <v>52</v>
      </c>
      <c r="D37" s="49" t="s">
        <v>53</v>
      </c>
      <c r="E37" s="49"/>
      <c r="F37" s="54"/>
      <c r="G37" s="49"/>
      <c r="H37" s="49"/>
    </row>
    <row r="38" spans="1:8" ht="15.6">
      <c r="A38" s="46" t="s">
        <v>46</v>
      </c>
      <c r="B38" s="49"/>
      <c r="C38" s="49"/>
      <c r="D38" s="49"/>
      <c r="E38" s="49"/>
      <c r="F38" s="49"/>
      <c r="G38" s="49"/>
      <c r="H38" s="49"/>
    </row>
    <row r="39" spans="1:8" ht="15.6">
      <c r="A39" s="46"/>
      <c r="B39" s="49"/>
      <c r="C39" s="49"/>
      <c r="D39" s="49"/>
      <c r="E39" s="49"/>
      <c r="F39" s="49"/>
      <c r="G39" s="49"/>
      <c r="H39" s="49"/>
    </row>
    <row r="40" spans="1:8" ht="15.6">
      <c r="A40" s="46"/>
      <c r="B40" s="52" t="s">
        <v>54</v>
      </c>
      <c r="C40" s="49"/>
      <c r="D40" s="49"/>
      <c r="E40" s="49"/>
      <c r="F40" s="49"/>
      <c r="G40" s="49"/>
      <c r="H40" s="49"/>
    </row>
    <row r="41" spans="1:8" ht="15.6">
      <c r="A41" s="46"/>
      <c r="B41" s="46"/>
      <c r="C41" s="46"/>
      <c r="D41" s="46"/>
      <c r="E41" s="46"/>
      <c r="F41" s="46"/>
      <c r="G41" s="46"/>
      <c r="H41" s="55"/>
    </row>
    <row r="42" spans="1:8" ht="15.6">
      <c r="A42" s="46"/>
      <c r="B42" s="56"/>
      <c r="C42" s="55"/>
      <c r="D42" s="46"/>
      <c r="E42" s="46"/>
      <c r="F42" s="46"/>
      <c r="G42" s="46"/>
      <c r="H42" s="55"/>
    </row>
    <row r="43" spans="1:8" ht="15.6">
      <c r="A43" s="46"/>
      <c r="B43" s="56"/>
      <c r="C43" s="55"/>
      <c r="D43" s="46"/>
      <c r="E43" s="46"/>
      <c r="F43" s="46"/>
      <c r="G43" s="46"/>
      <c r="H43" s="55"/>
    </row>
    <row r="44" spans="1:8" ht="15.6">
      <c r="A44" s="46"/>
      <c r="B44" s="56"/>
      <c r="C44" s="55"/>
      <c r="D44" s="46"/>
      <c r="E44" s="46"/>
      <c r="F44" s="46"/>
      <c r="G44" s="46"/>
      <c r="H44" s="55"/>
    </row>
    <row r="45" spans="1:8" ht="15.6">
      <c r="A45" s="46"/>
      <c r="B45" s="56"/>
      <c r="C45" s="46"/>
      <c r="D45" s="46"/>
      <c r="E45" s="46"/>
      <c r="F45" s="46"/>
      <c r="G45" s="46"/>
      <c r="H45" s="46"/>
    </row>
    <row r="46" spans="1:8" ht="15.6">
      <c r="A46" s="46"/>
      <c r="B46" s="46"/>
      <c r="C46" s="46"/>
      <c r="D46" s="46"/>
      <c r="E46" s="46"/>
      <c r="F46" s="46"/>
      <c r="G46" s="46"/>
      <c r="H46" s="46"/>
    </row>
    <row r="47" spans="1:8" ht="15.6">
      <c r="A47" s="46"/>
      <c r="B47" s="46"/>
      <c r="C47" s="46"/>
      <c r="D47" s="46"/>
      <c r="E47" s="46"/>
      <c r="F47" s="46"/>
      <c r="G47" s="46"/>
      <c r="H47" s="46"/>
    </row>
    <row r="48" spans="1:8" ht="15.6">
      <c r="A48" s="46"/>
      <c r="B48" s="46"/>
      <c r="C48" s="46"/>
      <c r="D48" s="46"/>
      <c r="E48" s="46"/>
      <c r="F48" s="46"/>
      <c r="G48" s="46"/>
      <c r="H48" s="46"/>
    </row>
    <row r="49" spans="1:8" ht="15.6">
      <c r="A49" s="46"/>
      <c r="B49" s="46"/>
      <c r="C49" s="46"/>
      <c r="D49" s="46"/>
      <c r="E49" s="46"/>
      <c r="F49" s="46"/>
      <c r="G49" s="46"/>
      <c r="H49" s="46"/>
    </row>
    <row r="50" spans="1:8" ht="15.6">
      <c r="A50" s="46"/>
      <c r="B50" s="46"/>
      <c r="C50" s="46"/>
      <c r="D50" s="46"/>
      <c r="E50" s="46"/>
      <c r="F50" s="46"/>
      <c r="G50" s="46"/>
      <c r="H50" s="46"/>
    </row>
    <row r="51" spans="1:8" ht="16.2" thickBot="1">
      <c r="A51" s="46"/>
      <c r="B51" s="46"/>
      <c r="C51" s="46"/>
      <c r="D51" s="46"/>
      <c r="E51" s="46"/>
      <c r="F51" s="46"/>
      <c r="G51" s="46"/>
      <c r="H51" s="46"/>
    </row>
    <row r="52" spans="1:8" ht="16.8">
      <c r="A52" s="57" t="s">
        <v>55</v>
      </c>
      <c r="B52" s="58"/>
      <c r="C52" s="59"/>
      <c r="D52" s="59"/>
      <c r="E52" s="60"/>
      <c r="F52" s="60"/>
      <c r="G52" s="60"/>
      <c r="H52" s="61"/>
    </row>
    <row r="53" spans="1:8" ht="16.8">
      <c r="A53" s="62" t="s">
        <v>56</v>
      </c>
      <c r="E53" s="63"/>
      <c r="F53" s="63"/>
      <c r="G53" s="63"/>
      <c r="H53" s="64"/>
    </row>
    <row r="54" spans="1:8" ht="16.8">
      <c r="A54" s="65" t="s">
        <v>57</v>
      </c>
      <c r="E54" s="63"/>
      <c r="F54" s="63"/>
      <c r="G54" s="63"/>
      <c r="H54" s="64"/>
    </row>
    <row r="55" spans="1:8" ht="16.8">
      <c r="A55" s="65" t="s">
        <v>58</v>
      </c>
      <c r="E55" s="63"/>
      <c r="F55" s="63"/>
      <c r="G55" s="63"/>
      <c r="H55" s="64"/>
    </row>
    <row r="56" spans="1:8" ht="16.8">
      <c r="A56" s="66" t="s">
        <v>59</v>
      </c>
      <c r="E56" s="63"/>
      <c r="F56" s="63"/>
      <c r="G56" s="63"/>
      <c r="H56" s="64"/>
    </row>
    <row r="57" spans="1:8" ht="16.8">
      <c r="A57" s="66" t="s">
        <v>60</v>
      </c>
      <c r="E57" s="63"/>
      <c r="F57" s="63"/>
      <c r="G57" s="63"/>
      <c r="H57" s="64"/>
    </row>
    <row r="58" spans="1:8" ht="16.8">
      <c r="A58" s="46"/>
      <c r="B58" s="64"/>
      <c r="C58" s="46"/>
      <c r="D58" s="46"/>
      <c r="E58" s="46"/>
      <c r="F58" s="46"/>
      <c r="G58" s="46"/>
      <c r="H58" s="46"/>
    </row>
    <row r="59" spans="1:8" ht="16.8">
      <c r="A59" s="46"/>
      <c r="B59" s="64"/>
      <c r="C59" s="46"/>
      <c r="D59" s="46"/>
      <c r="E59" s="46"/>
      <c r="F59" s="46"/>
      <c r="G59" s="46"/>
      <c r="H59" s="46"/>
    </row>
    <row r="60" spans="1:8" ht="15.6">
      <c r="A60" s="46"/>
      <c r="B60" s="46"/>
      <c r="C60" s="46"/>
      <c r="D60" s="46"/>
      <c r="E60" s="46"/>
      <c r="F60" s="46"/>
      <c r="G60" s="46"/>
      <c r="H60" s="46"/>
    </row>
    <row r="61" spans="1:8" ht="15.6">
      <c r="A61" s="46"/>
      <c r="B61" s="46"/>
      <c r="C61" s="46"/>
      <c r="D61" s="46"/>
      <c r="E61" s="46"/>
      <c r="F61" s="46"/>
      <c r="G61" s="46"/>
      <c r="H61" s="46"/>
    </row>
    <row r="62" spans="1:8" ht="15.6">
      <c r="A62" s="46"/>
      <c r="B62" s="46"/>
      <c r="C62" s="46"/>
      <c r="D62" s="46"/>
      <c r="E62" s="46"/>
      <c r="F62" s="46"/>
      <c r="G62" s="46"/>
      <c r="H62" s="46"/>
    </row>
    <row r="63" spans="1:8" ht="15.6">
      <c r="A63" s="46"/>
      <c r="B63" s="46"/>
      <c r="C63" s="46"/>
      <c r="D63" s="46"/>
      <c r="E63" s="46"/>
      <c r="F63" s="46"/>
      <c r="G63" s="46"/>
      <c r="H63" s="46"/>
    </row>
    <row r="64" spans="1:8" ht="15.6">
      <c r="A64" s="46"/>
      <c r="B64" s="46"/>
      <c r="C64" s="46"/>
      <c r="D64" s="46"/>
      <c r="E64" s="46"/>
      <c r="F64" s="46"/>
      <c r="G64" s="46"/>
      <c r="H64" s="46"/>
    </row>
    <row r="65" spans="1:8" ht="15.6">
      <c r="A65" s="46"/>
      <c r="B65" s="46"/>
      <c r="C65" s="46"/>
      <c r="D65" s="46"/>
      <c r="E65" s="46"/>
      <c r="F65" s="46"/>
      <c r="G65" s="46"/>
      <c r="H65" s="46"/>
    </row>
    <row r="66" spans="1:8" ht="15.6">
      <c r="A66" s="46"/>
      <c r="B66" s="46"/>
      <c r="C66" s="46"/>
      <c r="D66" s="46"/>
      <c r="E66" s="46"/>
      <c r="F66" s="46"/>
      <c r="G66" s="46"/>
      <c r="H66" s="46"/>
    </row>
    <row r="67" spans="1:8" ht="15.6">
      <c r="B67" s="46"/>
    </row>
    <row r="68" spans="1:8" ht="15.6">
      <c r="B68" s="46"/>
    </row>
  </sheetData>
  <pageMargins left="0.25" right="0.25" top="0.75" bottom="0.75" header="0.3" footer="0.3"/>
  <pageSetup paperSize="9" scale="76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FACTURE</vt:lpstr>
      <vt:lpstr>CALCUL</vt:lpstr>
      <vt:lpstr>FICHE</vt:lpstr>
      <vt:lpstr>ATT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Ibtissame EL AKKAD</dc:creator>
  <cp:lastModifiedBy>reda ghalbi</cp:lastModifiedBy>
  <cp:lastPrinted>2025-07-16T16:30:47Z</cp:lastPrinted>
  <dcterms:created xsi:type="dcterms:W3CDTF">2022-01-07T11:03:27Z</dcterms:created>
  <dcterms:modified xsi:type="dcterms:W3CDTF">2025-07-22T13:45:41Z</dcterms:modified>
</cp:coreProperties>
</file>