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.hinni\Desktop\CESSION 2025\CESSION 07.25\"/>
    </mc:Choice>
  </mc:AlternateContent>
  <bookViews>
    <workbookView xWindow="0" yWindow="0" windowWidth="28800" windowHeight="12015" activeTab="3"/>
  </bookViews>
  <sheets>
    <sheet name="FACTURE" sheetId="1" r:id="rId1"/>
    <sheet name="CALCUL" sheetId="2" r:id="rId2"/>
    <sheet name="FICHE" sheetId="3" r:id="rId3"/>
    <sheet name="AT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5" i="3" l="1"/>
  <c r="N26" i="3" s="1"/>
  <c r="L23" i="3"/>
  <c r="L6" i="2" l="1"/>
  <c r="L5" i="2"/>
  <c r="L4" i="2"/>
  <c r="L3" i="2"/>
  <c r="L2" i="2"/>
  <c r="F57" i="2"/>
  <c r="E69" i="2"/>
  <c r="E68" i="2"/>
  <c r="E67" i="2"/>
  <c r="E66" i="2"/>
  <c r="E65" i="2"/>
  <c r="E64" i="2"/>
  <c r="G57" i="2"/>
  <c r="F58" i="2" s="1"/>
  <c r="F56" i="2"/>
  <c r="F39" i="2"/>
  <c r="F22" i="2"/>
  <c r="F64" i="2" l="1"/>
  <c r="F65" i="2"/>
  <c r="G65" i="2" s="1"/>
  <c r="H65" i="2" s="1"/>
  <c r="F66" i="2"/>
  <c r="G66" i="2" s="1"/>
  <c r="H66" i="2" s="1"/>
  <c r="F67" i="2"/>
  <c r="G67" i="2" s="1"/>
  <c r="H67" i="2" s="1"/>
  <c r="F68" i="2"/>
  <c r="G68" i="2" s="1"/>
  <c r="H68" i="2" s="1"/>
  <c r="F69" i="2"/>
  <c r="G69" i="2" s="1"/>
  <c r="H69" i="2" s="1"/>
  <c r="E70" i="2"/>
  <c r="G64" i="2" l="1"/>
  <c r="F70" i="2"/>
  <c r="H64" i="2" l="1"/>
  <c r="H70" i="2" s="1"/>
  <c r="G70" i="2"/>
  <c r="E51" i="2" l="1"/>
  <c r="E50" i="2"/>
  <c r="E49" i="2"/>
  <c r="E48" i="2"/>
  <c r="E47" i="2"/>
  <c r="E46" i="2"/>
  <c r="E52" i="2" s="1"/>
  <c r="G39" i="2"/>
  <c r="F40" i="2" s="1"/>
  <c r="F38" i="2"/>
  <c r="E34" i="2"/>
  <c r="E33" i="2"/>
  <c r="E32" i="2"/>
  <c r="E31" i="2"/>
  <c r="E30" i="2"/>
  <c r="E29" i="2"/>
  <c r="E35" i="2" s="1"/>
  <c r="G22" i="2"/>
  <c r="F23" i="2" s="1"/>
  <c r="F21" i="2"/>
  <c r="E17" i="2"/>
  <c r="E16" i="2"/>
  <c r="E15" i="2"/>
  <c r="E14" i="2"/>
  <c r="E13" i="2"/>
  <c r="E12" i="2"/>
  <c r="F5" i="2"/>
  <c r="G5" i="2" s="1"/>
  <c r="F6" i="2" s="1"/>
  <c r="F4" i="2"/>
  <c r="K19" i="3"/>
  <c r="K17" i="3"/>
  <c r="K15" i="3"/>
  <c r="F30" i="2" l="1"/>
  <c r="G30" i="2" s="1"/>
  <c r="H30" i="2" s="1"/>
  <c r="F47" i="2"/>
  <c r="G47" i="2" s="1"/>
  <c r="H47" i="2" s="1"/>
  <c r="F14" i="2"/>
  <c r="G14" i="2" s="1"/>
  <c r="H14" i="2" s="1"/>
  <c r="F31" i="2"/>
  <c r="G31" i="2" s="1"/>
  <c r="H31" i="2" s="1"/>
  <c r="F48" i="2"/>
  <c r="G48" i="2" s="1"/>
  <c r="H48" i="2" s="1"/>
  <c r="F32" i="2"/>
  <c r="G32" i="2" s="1"/>
  <c r="H32" i="2" s="1"/>
  <c r="F49" i="2"/>
  <c r="G49" i="2" s="1"/>
  <c r="H49" i="2" s="1"/>
  <c r="F33" i="2"/>
  <c r="G33" i="2" s="1"/>
  <c r="H33" i="2" s="1"/>
  <c r="F50" i="2"/>
  <c r="G50" i="2" s="1"/>
  <c r="H50" i="2" s="1"/>
  <c r="F17" i="2"/>
  <c r="G17" i="2" s="1"/>
  <c r="H17" i="2" s="1"/>
  <c r="F34" i="2"/>
  <c r="G34" i="2" s="1"/>
  <c r="H34" i="2" s="1"/>
  <c r="F51" i="2"/>
  <c r="G51" i="2" s="1"/>
  <c r="H51" i="2" s="1"/>
  <c r="F29" i="2"/>
  <c r="F46" i="2"/>
  <c r="E18" i="2"/>
  <c r="F12" i="2" s="1"/>
  <c r="F16" i="2" l="1"/>
  <c r="G16" i="2" s="1"/>
  <c r="H16" i="2" s="1"/>
  <c r="F15" i="2"/>
  <c r="G15" i="2" s="1"/>
  <c r="H15" i="2" s="1"/>
  <c r="F13" i="2"/>
  <c r="G13" i="2" s="1"/>
  <c r="H13" i="2" s="1"/>
  <c r="F18" i="2"/>
  <c r="G12" i="2"/>
  <c r="F35" i="2"/>
  <c r="G29" i="2"/>
  <c r="G46" i="2"/>
  <c r="F52" i="2"/>
  <c r="H29" i="2" l="1"/>
  <c r="H35" i="2" s="1"/>
  <c r="G35" i="2"/>
  <c r="H46" i="2"/>
  <c r="H52" i="2" s="1"/>
  <c r="G52" i="2"/>
  <c r="H12" i="2"/>
  <c r="H18" i="2" s="1"/>
  <c r="G18" i="2"/>
  <c r="E22" i="1" l="1"/>
  <c r="E21" i="1"/>
  <c r="E20" i="1"/>
  <c r="E19" i="1" l="1"/>
  <c r="E25" i="1" s="1"/>
</calcChain>
</file>

<file path=xl/sharedStrings.xml><?xml version="1.0" encoding="utf-8"?>
<sst xmlns="http://schemas.openxmlformats.org/spreadsheetml/2006/main" count="255" uniqueCount="142">
  <si>
    <t>Page 1 de 1</t>
  </si>
  <si>
    <t>www.gpccarton.com</t>
  </si>
  <si>
    <t>Adresse électronique : contact@gpccarton.com</t>
  </si>
  <si>
    <t>Route d'Agourai Km 2,300 -   Tél : 0535 53 72 60 / 0661 36 72 15   -   Fax : 0535 53 87 20</t>
  </si>
  <si>
    <t xml:space="preserve">Papeterie Meknès : </t>
  </si>
  <si>
    <t>ZI Ait Melloul - Lot 857 - BP 1763 -   Tél : 0528 24 90 33   -   Fax : 0528 24 81 19</t>
  </si>
  <si>
    <t xml:space="preserve">GPC Agadir : </t>
  </si>
  <si>
    <t>Route de Tanger - BP 1398 -   Tél : 0537 37 17 67 / 0537 36 10 91   -   Fax : 0537 37 38 23</t>
  </si>
  <si>
    <t xml:space="preserve">GPC Kénitra : </t>
  </si>
  <si>
    <t>Route Côtière nº111 -   Tél : 0523 32 77 50 / 0523 30 34 15   -   Fax : 0523 32 60 51</t>
  </si>
  <si>
    <t xml:space="preserve">GPC Mohammédia : </t>
  </si>
  <si>
    <t>RC Casa 102341 - CNSS TP: 2386945 - T.P: 32401222 - IF: 03700102 - ICE: 001525141000021</t>
  </si>
  <si>
    <t>TOTAL :</t>
  </si>
  <si>
    <t xml:space="preserve">Montant </t>
  </si>
  <si>
    <t xml:space="preserve">P.U </t>
  </si>
  <si>
    <t xml:space="preserve">            Quantité</t>
  </si>
  <si>
    <t>Références</t>
  </si>
  <si>
    <t>Code Article</t>
  </si>
  <si>
    <t xml:space="preserve">ABIBOU JIHANE </t>
  </si>
  <si>
    <t xml:space="preserve">Affaire suivie par </t>
  </si>
  <si>
    <t>Représentant GPC</t>
  </si>
  <si>
    <t xml:space="preserve">E-mail               </t>
  </si>
  <si>
    <t xml:space="preserve">Fax                  </t>
  </si>
  <si>
    <t xml:space="preserve">Tél                     </t>
  </si>
  <si>
    <t xml:space="preserve">Destinataire       </t>
  </si>
  <si>
    <t>Régime : AT</t>
  </si>
  <si>
    <t xml:space="preserve">FACTURE DE CESSION </t>
  </si>
  <si>
    <t>PESBAK BENJELLOUN</t>
  </si>
  <si>
    <t xml:space="preserve">TANGER </t>
  </si>
  <si>
    <t>CP0263</t>
  </si>
  <si>
    <t xml:space="preserve">NADIA LAAOUJ </t>
  </si>
  <si>
    <t>9P0263/0051</t>
  </si>
  <si>
    <t>C/Am   LANGOSTINO WOFCO G</t>
  </si>
  <si>
    <t>N° 37</t>
  </si>
  <si>
    <t>9P0263/0053</t>
  </si>
  <si>
    <t>9P0263/0038</t>
  </si>
  <si>
    <t>C/Am Blanc Anonyme "P" 6kg</t>
  </si>
  <si>
    <t>9P0263/0068</t>
  </si>
  <si>
    <t>C/Am Wafco 6kg New Adress P</t>
  </si>
  <si>
    <t>Carton DRAKARIS</t>
  </si>
  <si>
    <r>
      <t>GPC Papier &amp; Carton S.A.</t>
    </r>
    <r>
      <rPr>
        <sz val="10"/>
        <color theme="1"/>
        <rFont val="Calibri"/>
        <family val="2"/>
        <scheme val="minor"/>
      </rPr>
      <t xml:space="preserve">, au Capital de </t>
    </r>
    <r>
      <rPr>
        <b/>
        <sz val="10"/>
        <color theme="1"/>
        <rFont val="Calibri"/>
        <family val="2"/>
        <scheme val="minor"/>
      </rPr>
      <t xml:space="preserve">603.935.800,00 DH </t>
    </r>
    <r>
      <rPr>
        <sz val="10"/>
        <color theme="1"/>
        <rFont val="Calibri"/>
        <family val="2"/>
        <scheme val="minor"/>
      </rPr>
      <t xml:space="preserve">- </t>
    </r>
    <r>
      <rPr>
        <b/>
        <sz val="10"/>
        <color theme="1"/>
        <rFont val="Calibri"/>
        <family val="2"/>
        <scheme val="minor"/>
      </rPr>
      <t xml:space="preserve">Siège Social </t>
    </r>
    <r>
      <rPr>
        <sz val="10"/>
        <color theme="1"/>
        <rFont val="Calibri"/>
        <family val="2"/>
        <scheme val="minor"/>
      </rPr>
      <t xml:space="preserve">: 239, Bd Mohammed V - Casablanca </t>
    </r>
  </si>
  <si>
    <t>MONSIEUR   L'INSPECTEUR   PRINCIPAL</t>
  </si>
  <si>
    <t>SERVICE DES REGIMES ECONOMIQUES</t>
  </si>
  <si>
    <r>
      <t>OBJET</t>
    </r>
    <r>
      <rPr>
        <b/>
        <sz val="12"/>
        <rFont val="Antique Olive"/>
        <family val="2"/>
      </rPr>
      <t xml:space="preserve">  :    ATTESTATION DE CESSION    </t>
    </r>
  </si>
  <si>
    <t>AT A ENREGISTRER</t>
  </si>
  <si>
    <t xml:space="preserve">                   </t>
  </si>
  <si>
    <t xml:space="preserve"> </t>
  </si>
  <si>
    <t>Nous société  GPC  cédons à</t>
  </si>
  <si>
    <t>Société     :</t>
  </si>
  <si>
    <t>PESBAK ET BENJELLOUN</t>
  </si>
  <si>
    <t>Quantité   :</t>
  </si>
  <si>
    <t>200.000 CAISSES EN CARTON</t>
  </si>
  <si>
    <t>A cet effet, nous autorisons la dite société à apurer nos comptes d'AT conformément</t>
  </si>
  <si>
    <t>aux quantités mentionnées sur les fiches d'imputation ci-jointes,</t>
  </si>
  <si>
    <t>AT :</t>
  </si>
  <si>
    <t>309 22 001813 DU 30/05/2024</t>
  </si>
  <si>
    <t>Veuillez agréer, Monsieur l'inspecteur, l'expression de nos salutations distinguées.</t>
  </si>
  <si>
    <r>
      <t xml:space="preserve">               GHARB PAPIER et CARTON S.A</t>
    </r>
    <r>
      <rPr>
        <b/>
        <sz val="10"/>
        <color indexed="18"/>
        <rFont val="Century Gothic"/>
        <family val="2"/>
      </rPr>
      <t>.</t>
    </r>
    <r>
      <rPr>
        <sz val="10"/>
        <rFont val="Century Gothic"/>
        <family val="2"/>
      </rPr>
      <t xml:space="preserve">, </t>
    </r>
    <r>
      <rPr>
        <sz val="10"/>
        <color indexed="62"/>
        <rFont val="Century Gothic"/>
        <family val="2"/>
      </rPr>
      <t xml:space="preserve">au Capital de 603.935.800,00 Dhs - </t>
    </r>
    <r>
      <rPr>
        <b/>
        <sz val="10"/>
        <color indexed="62"/>
        <rFont val="Century Gothic"/>
        <family val="2"/>
      </rPr>
      <t>Siège Social</t>
    </r>
    <r>
      <rPr>
        <sz val="10"/>
        <color indexed="62"/>
        <rFont val="Century Gothic"/>
        <family val="2"/>
      </rPr>
      <t> : 239, Bd Mohammed V - Casablanca</t>
    </r>
  </si>
  <si>
    <r>
      <t xml:space="preserve">                                       RC Casa 102341 - CNSS TP:  2386945 - T.P:  32401222 - IF 03700102  -  </t>
    </r>
    <r>
      <rPr>
        <b/>
        <sz val="10"/>
        <color indexed="62"/>
        <rFont val="Century Gothic"/>
        <family val="2"/>
      </rPr>
      <t>ICE: 001525141000021</t>
    </r>
  </si>
  <si>
    <r>
      <t xml:space="preserve">                                                  GPC Mohammédia</t>
    </r>
    <r>
      <rPr>
        <sz val="10"/>
        <color indexed="62"/>
        <rFont val="Century Gothic"/>
        <family val="2"/>
      </rPr>
      <t> : 111, Route Côtière - Tél : 05 23 32 77 50 - Fax : 05 23 32 60 51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</si>
  <si>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>Kénitra</t>
    </r>
    <r>
      <rPr>
        <sz val="10"/>
        <color indexed="62"/>
        <rFont val="Century Gothic"/>
        <family val="2"/>
      </rPr>
      <t> : Route de Tanger - BP 1398 - Tél : 05 37 37 17 67 - Fax : 05 37 37 38 23</t>
    </r>
  </si>
  <si>
    <r>
      <t xml:space="preserve">                                                  GPC</t>
    </r>
    <r>
      <rPr>
        <sz val="10"/>
        <color indexed="62"/>
        <rFont val="Century Gothic"/>
        <family val="2"/>
      </rPr>
      <t xml:space="preserve"> </t>
    </r>
    <r>
      <rPr>
        <b/>
        <sz val="10"/>
        <color indexed="62"/>
        <rFont val="Century Gothic"/>
        <family val="2"/>
      </rPr>
      <t xml:space="preserve">Agadir </t>
    </r>
    <r>
      <rPr>
        <sz val="10"/>
        <color indexed="62"/>
        <rFont val="Century Gothic"/>
        <family val="2"/>
      </rPr>
      <t>: ZI Ait Melloul- Lot 857 - BP 1763 – Tél : 05 28 24 90 33 – Fax : 05 28 24 81 19</t>
    </r>
  </si>
  <si>
    <r>
      <t xml:space="preserve">                                                  GPC MEKNES</t>
    </r>
    <r>
      <rPr>
        <sz val="10"/>
        <color indexed="62"/>
        <rFont val="Century Gothic"/>
        <family val="2"/>
      </rPr>
      <t xml:space="preserve">: Route d’Agourai,Km.2,300 – Tél : 05 35 53 72 60/ 061 36 72 15 – Fax : 05 35 53 87 20 </t>
    </r>
  </si>
  <si>
    <t>FICHE D'IMPUTATION (1)</t>
  </si>
  <si>
    <t>²</t>
  </si>
  <si>
    <t>annexée à la déclaration enregistrée</t>
  </si>
  <si>
    <t>N°:</t>
  </si>
  <si>
    <t xml:space="preserve">              et destinée à apurer les comptes d'admission</t>
  </si>
  <si>
    <t xml:space="preserve">                 </t>
  </si>
  <si>
    <t>de</t>
  </si>
  <si>
    <t>au bureau de:</t>
  </si>
  <si>
    <t>sous le:</t>
  </si>
  <si>
    <t>du:</t>
  </si>
  <si>
    <t xml:space="preserve">           'temporaire de matiéres premiéres(2) tenues par le bureau</t>
  </si>
  <si>
    <t>[3]</t>
  </si>
  <si>
    <t xml:space="preserve">                                           </t>
  </si>
  <si>
    <t xml:space="preserve">      Je soussigné</t>
  </si>
  <si>
    <t>GHARB PAPIER CARTON</t>
  </si>
  <si>
    <t xml:space="preserve">déclare vouloir imputer sur les soumissions d'admission temporaire ci-dessous détaillées </t>
  </si>
  <si>
    <t>les matières premiéres entrant dans la fabrication des marchandises reprises à la déclaration ci-annexée et réexportées (4) après avoir subi une transformation</t>
  </si>
  <si>
    <t>ou un complément de main d'oeuvre au Maroc.</t>
  </si>
  <si>
    <t>Dossier</t>
  </si>
  <si>
    <t>art.</t>
  </si>
  <si>
    <t xml:space="preserve">                          SOUMISSIONS D'ADMISSION TEMPORAIRE</t>
  </si>
  <si>
    <t xml:space="preserve">         MATIERES PREMIERES</t>
  </si>
  <si>
    <t>Rendement</t>
  </si>
  <si>
    <t xml:space="preserve">             QUANTITES DEMANDEES</t>
  </si>
  <si>
    <t xml:space="preserve">        SUR LESQUELLES LES IMPUTATIONS SONT DEMANDEES (5)</t>
  </si>
  <si>
    <t xml:space="preserve">                      IMPORTEES</t>
  </si>
  <si>
    <t>du</t>
  </si>
  <si>
    <t xml:space="preserve">                         EN DECHARGE</t>
  </si>
  <si>
    <t>la</t>
  </si>
  <si>
    <t>BUREAUX</t>
  </si>
  <si>
    <t>DATES</t>
  </si>
  <si>
    <t>NUMEROS</t>
  </si>
  <si>
    <t>ORIGINES</t>
  </si>
  <si>
    <t>SOUMISSIONNAIRES</t>
  </si>
  <si>
    <t>ESPECE SUCCINTE</t>
  </si>
  <si>
    <t>N° NOMENCLATURE</t>
  </si>
  <si>
    <t>pourcentage</t>
  </si>
  <si>
    <t>POIDS ( KGS )</t>
  </si>
  <si>
    <t>DECHET</t>
  </si>
  <si>
    <t>décl.</t>
  </si>
  <si>
    <t>D'EMISSION</t>
  </si>
  <si>
    <t>%</t>
  </si>
  <si>
    <t>TAXABLE</t>
  </si>
  <si>
    <t>G P C</t>
  </si>
  <si>
    <t>PAPIER</t>
  </si>
  <si>
    <t>B.</t>
  </si>
  <si>
    <t>OUI</t>
  </si>
  <si>
    <t>N.</t>
  </si>
  <si>
    <t>PDS A DECLARER =</t>
  </si>
  <si>
    <t>PESBAK</t>
  </si>
  <si>
    <t>PDS</t>
  </si>
  <si>
    <t>B</t>
  </si>
  <si>
    <t>WT</t>
  </si>
  <si>
    <t>C</t>
  </si>
  <si>
    <t>PDS SYSTÈME</t>
  </si>
  <si>
    <t>E</t>
  </si>
  <si>
    <t>PDS -2%</t>
  </si>
  <si>
    <t>fiche</t>
  </si>
  <si>
    <t>KL</t>
  </si>
  <si>
    <t>Saisie Composition double face (3 feuilles)</t>
  </si>
  <si>
    <t>Qualité</t>
  </si>
  <si>
    <t>Nomoclature</t>
  </si>
  <si>
    <t>Grammage</t>
  </si>
  <si>
    <t>type Cannelure</t>
  </si>
  <si>
    <t>PDS NET/COMPTE</t>
  </si>
  <si>
    <t>PDS BRUT/COMPTE</t>
  </si>
  <si>
    <t>BB</t>
  </si>
  <si>
    <t>4810/480524</t>
  </si>
  <si>
    <t>CR</t>
  </si>
  <si>
    <t>480519/480511(309)</t>
  </si>
  <si>
    <t>TL</t>
  </si>
  <si>
    <t>480524/480525</t>
  </si>
  <si>
    <t>TOTAL</t>
  </si>
  <si>
    <t>22/2479</t>
  </si>
  <si>
    <t>22/2737</t>
  </si>
  <si>
    <t>MOHAMMEDIA LE, 03/07/2025</t>
  </si>
  <si>
    <t>309 22 002479 DU 15/07/2024</t>
  </si>
  <si>
    <t>309 22 002737 DU 02/08/2024</t>
  </si>
  <si>
    <t>22/220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</si>
</sst>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D_H_-;\-* #,##0.00\ _D_H_-;_-* &quot;-&quot;??\ _D_H_-;_-@_-"/>
    <numFmt numFmtId="164" formatCode="#,##0.000\ [$EUR]"/>
    <numFmt numFmtId="165" formatCode="dd/mm/yy_)"/>
    <numFmt numFmtId="166" formatCode="#,##0.0000"/>
    <numFmt numFmtId="167" formatCode="0.0%"/>
    <numFmt numFmtId="168" formatCode="#,##0.00;[Red]#,##0.00"/>
  </numFmts>
  <fonts count="50"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name val="Tw Cen MT Condensed"/>
      <family val="2"/>
    </font>
    <font>
      <b/>
      <sz val="12"/>
      <name val="Arial"/>
      <family val="2"/>
    </font>
    <font>
      <sz val="10"/>
      <name val="Tw Cen MT Condensed"/>
      <family val="2"/>
    </font>
    <font>
      <b/>
      <sz val="12"/>
      <name val="Antique Olive"/>
      <family val="2"/>
    </font>
    <font>
      <b/>
      <u/>
      <sz val="12"/>
      <name val="Arial"/>
      <family val="2"/>
    </font>
    <font>
      <b/>
      <u/>
      <sz val="12"/>
      <name val="Antique Olive"/>
      <family val="2"/>
    </font>
    <font>
      <sz val="12"/>
      <name val="Antique Olive"/>
      <family val="2"/>
    </font>
    <font>
      <b/>
      <sz val="12"/>
      <name val="Calisto MT"/>
      <family val="1"/>
    </font>
    <font>
      <b/>
      <sz val="12"/>
      <name val="Times New Roman"/>
      <family val="1"/>
    </font>
    <font>
      <b/>
      <sz val="12"/>
      <name val="Helvetica"/>
      <family val="2"/>
    </font>
    <font>
      <b/>
      <sz val="10"/>
      <color rgb="FF333399"/>
      <name val="Century Gothic"/>
      <family val="2"/>
    </font>
    <font>
      <b/>
      <sz val="10"/>
      <color indexed="18"/>
      <name val="Century Gothic"/>
      <family val="2"/>
    </font>
    <font>
      <sz val="10"/>
      <name val="Century Gothic"/>
      <family val="2"/>
    </font>
    <font>
      <sz val="10"/>
      <color indexed="62"/>
      <name val="Century Gothic"/>
      <family val="2"/>
    </font>
    <font>
      <b/>
      <sz val="10"/>
      <color indexed="62"/>
      <name val="Century Gothic"/>
      <family val="2"/>
    </font>
    <font>
      <sz val="13"/>
      <name val="Arial"/>
      <family val="2"/>
    </font>
    <font>
      <b/>
      <sz val="13"/>
      <name val="Arial"/>
      <family val="2"/>
    </font>
    <font>
      <sz val="10"/>
      <color rgb="FF333399"/>
      <name val="Century Gothic"/>
      <family val="2"/>
    </font>
    <font>
      <b/>
      <sz val="14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2"/>
      <name val="Arial"/>
      <family val="2"/>
    </font>
    <font>
      <b/>
      <sz val="12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rgb="FFF4B08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4B084"/>
        <bgColor rgb="FFF4B084"/>
      </patternFill>
    </fill>
    <fill>
      <patternFill patternType="solid">
        <fgColor theme="7" tint="0.59999389629810485"/>
        <bgColor rgb="FFFCE4D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rgb="FFFCE4D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 style="thin">
        <color theme="1"/>
      </right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/>
      <diagonal/>
    </border>
    <border>
      <left/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ashed">
        <color indexed="8"/>
      </bottom>
      <diagonal/>
    </border>
    <border>
      <left style="double">
        <color indexed="8"/>
      </left>
      <right style="thin">
        <color indexed="8"/>
      </right>
      <top style="dashed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8"/>
      </right>
      <top style="dashed">
        <color indexed="8"/>
      </top>
      <bottom/>
      <diagonal/>
    </border>
    <border>
      <left/>
      <right style="double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8"/>
      </right>
      <top/>
      <bottom style="dashed">
        <color indexed="64"/>
      </bottom>
      <diagonal/>
    </border>
    <border>
      <left/>
      <right style="thin">
        <color indexed="8"/>
      </right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/>
      <bottom style="dashed">
        <color indexed="8"/>
      </bottom>
      <diagonal/>
    </border>
    <border>
      <left/>
      <right style="thin">
        <color indexed="8"/>
      </right>
      <top/>
      <bottom style="dotted">
        <color indexed="64"/>
      </bottom>
      <diagonal/>
    </border>
    <border>
      <left/>
      <right style="thin">
        <color theme="1"/>
      </right>
      <top/>
      <bottom style="dashed">
        <color indexed="8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8"/>
      </top>
      <bottom/>
      <diagonal/>
    </border>
    <border>
      <left style="thin">
        <color indexed="8"/>
      </left>
      <right style="thin">
        <color indexed="8"/>
      </right>
      <top style="dashed">
        <color indexed="8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thin">
        <color theme="1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theme="1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theme="1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theme="1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NumberFormat="0" applyFill="0" applyBorder="0" applyAlignment="0" applyProtection="0">
      <alignment vertical="top"/>
      <protection locked="0"/>
    </xf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53">
    <xf numFmtId="0" fontId="0" fillId="0" borderId="0" xfId="0"/>
    <xf numFmtId="0" fontId="0" fillId="0" borderId="0" xfId="0" applyFill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NumberFormat="1" applyFont="1" applyFill="1" applyBorder="1"/>
    <xf numFmtId="0" fontId="2" fillId="2" borderId="0" xfId="0" applyFont="1" applyFill="1" applyBorder="1" applyAlignment="1">
      <alignment horizontal="left"/>
    </xf>
    <xf numFmtId="4" fontId="4" fillId="3" borderId="1" xfId="0" applyNumberFormat="1" applyFont="1" applyFill="1" applyBorder="1"/>
    <xf numFmtId="2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4" fontId="4" fillId="3" borderId="9" xfId="0" applyNumberFormat="1" applyFont="1" applyFill="1" applyBorder="1"/>
    <xf numFmtId="2" fontId="4" fillId="2" borderId="9" xfId="0" applyNumberFormat="1" applyFont="1" applyFill="1" applyBorder="1" applyAlignment="1">
      <alignment horizontal="center"/>
    </xf>
    <xf numFmtId="3" fontId="4" fillId="2" borderId="9" xfId="0" applyNumberFormat="1" applyFont="1" applyFill="1" applyBorder="1"/>
    <xf numFmtId="0" fontId="4" fillId="2" borderId="7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4" fontId="0" fillId="2" borderId="9" xfId="0" applyNumberFormat="1" applyFont="1" applyFill="1" applyBorder="1"/>
    <xf numFmtId="3" fontId="4" fillId="2" borderId="9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wrapText="1"/>
    </xf>
    <xf numFmtId="3" fontId="4" fillId="2" borderId="9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/>
    </xf>
    <xf numFmtId="0" fontId="5" fillId="4" borderId="10" xfId="0" applyNumberFormat="1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NumberFormat="1" applyFont="1" applyFill="1"/>
    <xf numFmtId="0" fontId="5" fillId="2" borderId="0" xfId="0" applyFont="1" applyFill="1"/>
    <xf numFmtId="0" fontId="6" fillId="2" borderId="0" xfId="0" applyFont="1" applyFill="1" applyBorder="1" applyAlignment="1">
      <alignment horizontal="left" vertical="center"/>
    </xf>
    <xf numFmtId="164" fontId="1" fillId="2" borderId="0" xfId="1" applyFont="1" applyFill="1" applyAlignment="1" applyProtection="1"/>
    <xf numFmtId="0" fontId="5" fillId="2" borderId="0" xfId="0" applyFont="1" applyFill="1" applyAlignment="1">
      <alignment horizontal="left"/>
    </xf>
    <xf numFmtId="1" fontId="6" fillId="2" borderId="0" xfId="0" applyNumberFormat="1" applyFont="1" applyFill="1"/>
    <xf numFmtId="0" fontId="0" fillId="2" borderId="0" xfId="0" applyFill="1"/>
    <xf numFmtId="0" fontId="8" fillId="2" borderId="0" xfId="0" applyFont="1" applyFill="1" applyAlignment="1">
      <alignment horizontal="center"/>
    </xf>
    <xf numFmtId="14" fontId="8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11" fillId="2" borderId="0" xfId="0" applyNumberFormat="1" applyFont="1" applyFill="1"/>
    <xf numFmtId="4" fontId="0" fillId="2" borderId="9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3" fillId="0" borderId="0" xfId="0" applyFont="1"/>
    <xf numFmtId="0" fontId="15" fillId="0" borderId="0" xfId="0" applyFont="1"/>
    <xf numFmtId="0" fontId="15" fillId="2" borderId="0" xfId="0" applyFont="1" applyFill="1" applyAlignment="1"/>
    <xf numFmtId="0" fontId="15" fillId="2" borderId="0" xfId="1" applyNumberFormat="1" applyFont="1" applyFill="1" applyAlignment="1" applyProtection="1">
      <alignment horizontal="center"/>
    </xf>
    <xf numFmtId="0" fontId="16" fillId="0" borderId="0" xfId="0" applyFont="1"/>
    <xf numFmtId="0" fontId="17" fillId="0" borderId="0" xfId="0" applyFont="1"/>
    <xf numFmtId="14" fontId="17" fillId="0" borderId="0" xfId="0" applyNumberFormat="1" applyFont="1" applyAlignment="1" applyProtection="1">
      <alignment horizontal="left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19" fillId="0" borderId="0" xfId="0" applyFont="1" applyAlignment="1">
      <alignment horizontal="left"/>
    </xf>
    <xf numFmtId="14" fontId="19" fillId="0" borderId="0" xfId="0" applyNumberFormat="1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13" xfId="0" applyFont="1" applyBorder="1" applyAlignment="1"/>
    <xf numFmtId="0" fontId="31" fillId="0" borderId="13" xfId="0" applyFont="1" applyBorder="1" applyAlignment="1">
      <alignment horizontal="left"/>
    </xf>
    <xf numFmtId="0" fontId="0" fillId="0" borderId="13" xfId="0" applyBorder="1"/>
    <xf numFmtId="0" fontId="31" fillId="0" borderId="13" xfId="0" applyFont="1" applyBorder="1"/>
    <xf numFmtId="0" fontId="32" fillId="0" borderId="14" xfId="0" applyFont="1" applyBorder="1"/>
    <xf numFmtId="0" fontId="33" fillId="0" borderId="0" xfId="0" applyFont="1" applyAlignment="1"/>
    <xf numFmtId="0" fontId="31" fillId="0" borderId="0" xfId="0" applyFont="1"/>
    <xf numFmtId="0" fontId="32" fillId="0" borderId="0" xfId="0" applyFont="1"/>
    <xf numFmtId="0" fontId="26" fillId="0" borderId="0" xfId="0" applyFont="1"/>
    <xf numFmtId="0" fontId="26" fillId="0" borderId="0" xfId="0" applyFont="1" applyAlignment="1"/>
    <xf numFmtId="0" fontId="34" fillId="0" borderId="0" xfId="0" applyFont="1" applyAlignment="1">
      <alignment horizontal="left"/>
    </xf>
    <xf numFmtId="0" fontId="34" fillId="0" borderId="0" xfId="0" applyFont="1" applyAlignment="1">
      <alignment horizontal="center"/>
    </xf>
    <xf numFmtId="0" fontId="34" fillId="0" borderId="0" xfId="0" applyFont="1" applyAlignment="1" applyProtection="1">
      <alignment horizontal="left"/>
    </xf>
    <xf numFmtId="0" fontId="24" fillId="0" borderId="15" xfId="0" applyFont="1" applyBorder="1" applyAlignment="1">
      <alignment horizontal="center"/>
    </xf>
    <xf numFmtId="0" fontId="35" fillId="5" borderId="16" xfId="0" applyFont="1" applyFill="1" applyBorder="1"/>
    <xf numFmtId="0" fontId="36" fillId="5" borderId="0" xfId="0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/>
    <xf numFmtId="0" fontId="36" fillId="0" borderId="15" xfId="0" applyFont="1" applyBorder="1" applyAlignment="1">
      <alignment horizontal="center"/>
    </xf>
    <xf numFmtId="0" fontId="35" fillId="0" borderId="16" xfId="0" applyFont="1" applyBorder="1" applyProtection="1"/>
    <xf numFmtId="0" fontId="24" fillId="5" borderId="0" xfId="0" applyFont="1" applyFill="1"/>
    <xf numFmtId="0" fontId="24" fillId="0" borderId="17" xfId="0" applyFont="1" applyBorder="1" applyAlignment="1">
      <alignment horizontal="center"/>
    </xf>
    <xf numFmtId="0" fontId="35" fillId="5" borderId="18" xfId="0" applyFont="1" applyFill="1" applyBorder="1"/>
    <xf numFmtId="0" fontId="36" fillId="5" borderId="17" xfId="0" applyFont="1" applyFill="1" applyBorder="1"/>
    <xf numFmtId="0" fontId="35" fillId="5" borderId="18" xfId="0" applyFont="1" applyFill="1" applyBorder="1" applyAlignment="1" applyProtection="1">
      <alignment horizont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7" fillId="5" borderId="0" xfId="0" applyFont="1" applyFill="1"/>
    <xf numFmtId="0" fontId="37" fillId="0" borderId="0" xfId="0" applyFont="1" applyAlignment="1">
      <alignment horizontal="center"/>
    </xf>
    <xf numFmtId="0" fontId="37" fillId="0" borderId="0" xfId="0" applyFont="1" applyProtection="1"/>
    <xf numFmtId="0" fontId="24" fillId="6" borderId="0" xfId="0" applyFont="1" applyFill="1"/>
    <xf numFmtId="0" fontId="35" fillId="6" borderId="0" xfId="0" applyFont="1" applyFill="1"/>
    <xf numFmtId="0" fontId="35" fillId="0" borderId="0" xfId="0" applyFont="1" applyProtection="1"/>
    <xf numFmtId="0" fontId="38" fillId="0" borderId="19" xfId="0" applyFont="1" applyBorder="1" applyAlignment="1">
      <alignment horizontal="center" vertical="center"/>
    </xf>
    <xf numFmtId="0" fontId="37" fillId="0" borderId="20" xfId="0" applyFont="1" applyBorder="1"/>
    <xf numFmtId="0" fontId="37" fillId="0" borderId="21" xfId="0" applyFont="1" applyBorder="1"/>
    <xf numFmtId="0" fontId="37" fillId="0" borderId="22" xfId="0" applyFont="1" applyBorder="1"/>
    <xf numFmtId="0" fontId="38" fillId="0" borderId="23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37" fillId="0" borderId="25" xfId="0" applyFont="1" applyBorder="1" applyProtection="1"/>
    <xf numFmtId="0" fontId="38" fillId="0" borderId="26" xfId="0" applyFont="1" applyBorder="1" applyAlignment="1">
      <alignment horizontal="center"/>
    </xf>
    <xf numFmtId="0" fontId="37" fillId="0" borderId="17" xfId="0" applyFont="1" applyBorder="1"/>
    <xf numFmtId="0" fontId="37" fillId="0" borderId="27" xfId="0" applyFont="1" applyBorder="1"/>
    <xf numFmtId="0" fontId="37" fillId="0" borderId="18" xfId="0" applyFont="1" applyBorder="1"/>
    <xf numFmtId="0" fontId="38" fillId="0" borderId="28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7" fillId="0" borderId="30" xfId="0" applyFont="1" applyBorder="1" applyProtection="1"/>
    <xf numFmtId="0" fontId="39" fillId="0" borderId="31" xfId="0" applyFont="1" applyBorder="1" applyAlignment="1">
      <alignment horizontal="center"/>
    </xf>
    <xf numFmtId="0" fontId="39" fillId="0" borderId="31" xfId="0" applyFont="1" applyBorder="1"/>
    <xf numFmtId="0" fontId="38" fillId="0" borderId="32" xfId="0" applyFont="1" applyBorder="1" applyAlignment="1">
      <alignment horizontal="center"/>
    </xf>
    <xf numFmtId="0" fontId="39" fillId="0" borderId="16" xfId="0" applyFont="1" applyBorder="1" applyAlignment="1">
      <alignment horizontal="center"/>
    </xf>
    <xf numFmtId="0" fontId="40" fillId="7" borderId="33" xfId="0" applyFont="1" applyFill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0" fontId="39" fillId="0" borderId="35" xfId="0" applyFont="1" applyBorder="1"/>
    <xf numFmtId="0" fontId="38" fillId="0" borderId="35" xfId="0" applyFont="1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40" fillId="7" borderId="37" xfId="0" applyFont="1" applyFill="1" applyBorder="1" applyAlignment="1">
      <alignment horizontal="center"/>
    </xf>
    <xf numFmtId="9" fontId="24" fillId="0" borderId="38" xfId="0" applyNumberFormat="1" applyFont="1" applyBorder="1" applyAlignment="1" applyProtection="1">
      <alignment horizontal="center"/>
    </xf>
    <xf numFmtId="0" fontId="35" fillId="0" borderId="39" xfId="0" applyFont="1" applyBorder="1" applyAlignment="1">
      <alignment horizontal="center"/>
    </xf>
    <xf numFmtId="165" fontId="35" fillId="0" borderId="9" xfId="0" applyNumberFormat="1" applyFont="1" applyBorder="1" applyAlignment="1" applyProtection="1">
      <alignment horizontal="center"/>
    </xf>
    <xf numFmtId="0" fontId="24" fillId="0" borderId="28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9" fontId="37" fillId="0" borderId="39" xfId="0" applyNumberFormat="1" applyFont="1" applyBorder="1" applyAlignment="1" applyProtection="1">
      <alignment horizontal="center"/>
    </xf>
    <xf numFmtId="9" fontId="24" fillId="0" borderId="40" xfId="0" applyNumberFormat="1" applyFont="1" applyBorder="1" applyAlignment="1" applyProtection="1">
      <alignment horizontal="center"/>
    </xf>
    <xf numFmtId="4" fontId="24" fillId="0" borderId="41" xfId="0" applyNumberFormat="1" applyFont="1" applyBorder="1" applyAlignment="1">
      <alignment horizontal="center"/>
    </xf>
    <xf numFmtId="0" fontId="36" fillId="7" borderId="42" xfId="0" applyFont="1" applyFill="1" applyBorder="1" applyAlignment="1" applyProtection="1">
      <alignment horizontal="center"/>
    </xf>
    <xf numFmtId="0" fontId="36" fillId="0" borderId="43" xfId="0" applyFont="1" applyBorder="1" applyAlignment="1">
      <alignment horizontal="center"/>
    </xf>
    <xf numFmtId="0" fontId="35" fillId="0" borderId="44" xfId="0" applyFont="1" applyBorder="1" applyAlignment="1">
      <alignment horizontal="center"/>
    </xf>
    <xf numFmtId="165" fontId="35" fillId="0" borderId="45" xfId="0" applyNumberFormat="1" applyFont="1" applyBorder="1" applyAlignment="1" applyProtection="1">
      <alignment horizontal="center"/>
    </xf>
    <xf numFmtId="0" fontId="24" fillId="0" borderId="45" xfId="0" applyFont="1" applyBorder="1" applyAlignment="1">
      <alignment horizontal="center"/>
    </xf>
    <xf numFmtId="0" fontId="35" fillId="0" borderId="45" xfId="0" applyFont="1" applyBorder="1" applyAlignment="1">
      <alignment horizontal="center"/>
    </xf>
    <xf numFmtId="9" fontId="37" fillId="0" borderId="46" xfId="0" applyNumberFormat="1" applyFont="1" applyBorder="1" applyAlignment="1" applyProtection="1">
      <alignment horizontal="center"/>
    </xf>
    <xf numFmtId="9" fontId="24" fillId="0" borderId="47" xfId="0" applyNumberFormat="1" applyFont="1" applyBorder="1" applyAlignment="1" applyProtection="1">
      <alignment horizontal="center"/>
    </xf>
    <xf numFmtId="4" fontId="24" fillId="2" borderId="44" xfId="0" applyNumberFormat="1" applyFont="1" applyFill="1" applyBorder="1" applyAlignment="1">
      <alignment horizontal="center"/>
    </xf>
    <xf numFmtId="0" fontId="36" fillId="7" borderId="48" xfId="0" applyFont="1" applyFill="1" applyBorder="1" applyAlignment="1" applyProtection="1">
      <alignment horizontal="center"/>
    </xf>
    <xf numFmtId="0" fontId="36" fillId="0" borderId="49" xfId="0" applyFont="1" applyBorder="1" applyAlignment="1">
      <alignment horizontal="center"/>
    </xf>
    <xf numFmtId="0" fontId="35" fillId="0" borderId="50" xfId="0" applyFont="1" applyBorder="1" applyAlignment="1">
      <alignment horizontal="center"/>
    </xf>
    <xf numFmtId="0" fontId="24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4" fontId="24" fillId="2" borderId="39" xfId="0" applyNumberFormat="1" applyFont="1" applyFill="1" applyBorder="1" applyAlignment="1">
      <alignment horizontal="center"/>
    </xf>
    <xf numFmtId="0" fontId="36" fillId="7" borderId="53" xfId="0" applyFont="1" applyFill="1" applyBorder="1" applyAlignment="1" applyProtection="1">
      <alignment horizontal="center"/>
    </xf>
    <xf numFmtId="0" fontId="36" fillId="0" borderId="54" xfId="0" applyFont="1" applyBorder="1" applyAlignment="1">
      <alignment horizontal="center"/>
    </xf>
    <xf numFmtId="0" fontId="35" fillId="0" borderId="55" xfId="0" applyFont="1" applyBorder="1" applyAlignment="1">
      <alignment horizontal="center"/>
    </xf>
    <xf numFmtId="165" fontId="35" fillId="0" borderId="55" xfId="0" applyNumberFormat="1" applyFont="1" applyBorder="1" applyAlignment="1" applyProtection="1">
      <alignment horizontal="center"/>
    </xf>
    <xf numFmtId="0" fontId="24" fillId="0" borderId="55" xfId="0" applyFont="1" applyBorder="1" applyAlignment="1">
      <alignment horizontal="center"/>
    </xf>
    <xf numFmtId="9" fontId="37" fillId="0" borderId="55" xfId="0" applyNumberFormat="1" applyFont="1" applyBorder="1" applyAlignment="1" applyProtection="1">
      <alignment horizontal="center"/>
    </xf>
    <xf numFmtId="9" fontId="24" fillId="0" borderId="56" xfId="0" applyNumberFormat="1" applyFont="1" applyBorder="1" applyAlignment="1" applyProtection="1">
      <alignment horizontal="center"/>
    </xf>
    <xf numFmtId="4" fontId="24" fillId="2" borderId="57" xfId="0" applyNumberFormat="1" applyFont="1" applyFill="1" applyBorder="1" applyAlignment="1">
      <alignment horizontal="center"/>
    </xf>
    <xf numFmtId="0" fontId="36" fillId="7" borderId="58" xfId="0" applyFont="1" applyFill="1" applyBorder="1" applyAlignment="1" applyProtection="1">
      <alignment horizontal="center"/>
    </xf>
    <xf numFmtId="0" fontId="36" fillId="0" borderId="59" xfId="0" applyFont="1" applyBorder="1" applyAlignment="1">
      <alignment horizontal="center"/>
    </xf>
    <xf numFmtId="0" fontId="35" fillId="0" borderId="60" xfId="0" applyFont="1" applyBorder="1" applyAlignment="1">
      <alignment horizontal="center"/>
    </xf>
    <xf numFmtId="165" fontId="35" fillId="0" borderId="60" xfId="0" applyNumberFormat="1" applyFont="1" applyBorder="1" applyAlignment="1" applyProtection="1">
      <alignment horizontal="center"/>
    </xf>
    <xf numFmtId="0" fontId="24" fillId="0" borderId="60" xfId="0" applyFont="1" applyBorder="1" applyAlignment="1">
      <alignment horizontal="center"/>
    </xf>
    <xf numFmtId="9" fontId="37" fillId="0" borderId="60" xfId="0" applyNumberFormat="1" applyFont="1" applyBorder="1" applyAlignment="1" applyProtection="1">
      <alignment horizontal="center"/>
    </xf>
    <xf numFmtId="9" fontId="24" fillId="0" borderId="61" xfId="0" applyNumberFormat="1" applyFont="1" applyBorder="1" applyAlignment="1" applyProtection="1">
      <alignment horizontal="center"/>
    </xf>
    <xf numFmtId="4" fontId="24" fillId="2" borderId="62" xfId="0" applyNumberFormat="1" applyFont="1" applyFill="1" applyBorder="1" applyAlignment="1">
      <alignment horizontal="center"/>
    </xf>
    <xf numFmtId="0" fontId="36" fillId="7" borderId="63" xfId="0" applyFont="1" applyFill="1" applyBorder="1" applyAlignment="1" applyProtection="1">
      <alignment horizontal="center"/>
    </xf>
    <xf numFmtId="0" fontId="35" fillId="0" borderId="64" xfId="0" applyFont="1" applyBorder="1" applyAlignment="1">
      <alignment horizontal="center"/>
    </xf>
    <xf numFmtId="165" fontId="35" fillId="0" borderId="64" xfId="0" applyNumberFormat="1" applyFont="1" applyBorder="1" applyAlignment="1" applyProtection="1">
      <alignment horizontal="center"/>
    </xf>
    <xf numFmtId="0" fontId="24" fillId="0" borderId="64" xfId="0" applyFont="1" applyBorder="1" applyAlignment="1">
      <alignment horizontal="center"/>
    </xf>
    <xf numFmtId="9" fontId="37" fillId="0" borderId="64" xfId="0" applyNumberFormat="1" applyFont="1" applyBorder="1" applyAlignment="1" applyProtection="1">
      <alignment horizontal="center"/>
    </xf>
    <xf numFmtId="9" fontId="24" fillId="0" borderId="65" xfId="0" applyNumberFormat="1" applyFont="1" applyBorder="1" applyAlignment="1" applyProtection="1">
      <alignment horizontal="center"/>
    </xf>
    <xf numFmtId="4" fontId="24" fillId="0" borderId="66" xfId="0" applyNumberFormat="1" applyFont="1" applyBorder="1" applyAlignment="1">
      <alignment horizontal="center"/>
    </xf>
    <xf numFmtId="0" fontId="36" fillId="7" borderId="67" xfId="0" applyFont="1" applyFill="1" applyBorder="1" applyAlignment="1" applyProtection="1">
      <alignment horizontal="center"/>
    </xf>
    <xf numFmtId="0" fontId="0" fillId="0" borderId="0" xfId="0" applyProtection="1"/>
    <xf numFmtId="0" fontId="36" fillId="0" borderId="68" xfId="0" applyFont="1" applyBorder="1" applyAlignment="1">
      <alignment horizontal="center"/>
    </xf>
    <xf numFmtId="0" fontId="35" fillId="0" borderId="69" xfId="0" applyFont="1" applyBorder="1" applyAlignment="1">
      <alignment horizontal="center"/>
    </xf>
    <xf numFmtId="165" fontId="35" fillId="0" borderId="69" xfId="0" applyNumberFormat="1" applyFont="1" applyBorder="1" applyAlignment="1" applyProtection="1">
      <alignment horizontal="center"/>
    </xf>
    <xf numFmtId="0" fontId="24" fillId="0" borderId="69" xfId="0" applyFont="1" applyBorder="1" applyAlignment="1">
      <alignment horizontal="center"/>
    </xf>
    <xf numFmtId="9" fontId="35" fillId="0" borderId="69" xfId="0" applyNumberFormat="1" applyFont="1" applyBorder="1" applyAlignment="1" applyProtection="1">
      <alignment horizontal="center"/>
    </xf>
    <xf numFmtId="9" fontId="24" fillId="0" borderId="70" xfId="0" applyNumberFormat="1" applyFont="1" applyBorder="1" applyAlignment="1" applyProtection="1">
      <alignment horizontal="center"/>
    </xf>
    <xf numFmtId="0" fontId="0" fillId="0" borderId="71" xfId="0" applyBorder="1"/>
    <xf numFmtId="0" fontId="35" fillId="7" borderId="72" xfId="0" applyFont="1" applyFill="1" applyBorder="1" applyAlignment="1" applyProtection="1">
      <alignment horizontal="center"/>
    </xf>
    <xf numFmtId="0" fontId="0" fillId="0" borderId="0" xfId="0" applyBorder="1"/>
    <xf numFmtId="0" fontId="41" fillId="0" borderId="0" xfId="0" applyFont="1"/>
    <xf numFmtId="166" fontId="41" fillId="0" borderId="0" xfId="0" applyNumberFormat="1" applyFont="1"/>
    <xf numFmtId="4" fontId="41" fillId="0" borderId="0" xfId="0" applyNumberFormat="1" applyFont="1"/>
    <xf numFmtId="4" fontId="17" fillId="0" borderId="0" xfId="0" applyNumberFormat="1" applyFont="1"/>
    <xf numFmtId="4" fontId="42" fillId="6" borderId="0" xfId="0" applyNumberFormat="1" applyFont="1" applyFill="1" applyAlignment="1">
      <alignment horizontal="center"/>
    </xf>
    <xf numFmtId="0" fontId="43" fillId="0" borderId="0" xfId="0" applyFont="1"/>
    <xf numFmtId="0" fontId="43" fillId="0" borderId="0" xfId="0" applyFont="1" applyBorder="1"/>
    <xf numFmtId="0" fontId="43" fillId="0" borderId="0" xfId="0" applyFont="1" applyFill="1" applyBorder="1"/>
    <xf numFmtId="0" fontId="44" fillId="0" borderId="0" xfId="0" applyFont="1"/>
    <xf numFmtId="166" fontId="0" fillId="0" borderId="0" xfId="0" applyNumberFormat="1"/>
    <xf numFmtId="4" fontId="41" fillId="0" borderId="0" xfId="0" applyNumberFormat="1" applyFont="1" applyAlignment="1">
      <alignment horizontal="center"/>
    </xf>
    <xf numFmtId="0" fontId="45" fillId="0" borderId="0" xfId="0" applyFont="1"/>
    <xf numFmtId="0" fontId="46" fillId="0" borderId="0" xfId="0" applyFont="1" applyBorder="1"/>
    <xf numFmtId="0" fontId="4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7" borderId="0" xfId="0" applyFont="1" applyFill="1"/>
    <xf numFmtId="4" fontId="17" fillId="7" borderId="0" xfId="0" applyNumberFormat="1" applyFont="1" applyFill="1" applyAlignment="1">
      <alignment horizontal="center"/>
    </xf>
    <xf numFmtId="4" fontId="0" fillId="0" borderId="0" xfId="0" applyNumberFormat="1"/>
    <xf numFmtId="43" fontId="0" fillId="0" borderId="0" xfId="2" applyFont="1"/>
    <xf numFmtId="9" fontId="0" fillId="0" borderId="0" xfId="3" applyFont="1"/>
    <xf numFmtId="0" fontId="48" fillId="0" borderId="0" xfId="0" applyFont="1"/>
    <xf numFmtId="4" fontId="44" fillId="0" borderId="0" xfId="0" applyNumberFormat="1" applyFont="1"/>
    <xf numFmtId="0" fontId="45" fillId="8" borderId="0" xfId="0" applyFont="1" applyFill="1"/>
    <xf numFmtId="0" fontId="0" fillId="8" borderId="0" xfId="0" applyFill="1"/>
    <xf numFmtId="0" fontId="17" fillId="0" borderId="10" xfId="0" applyFont="1" applyBorder="1" applyAlignment="1">
      <alignment horizontal="center"/>
    </xf>
    <xf numFmtId="0" fontId="0" fillId="0" borderId="10" xfId="0" applyBorder="1"/>
    <xf numFmtId="2" fontId="0" fillId="0" borderId="0" xfId="0" applyNumberFormat="1"/>
    <xf numFmtId="0" fontId="17" fillId="0" borderId="0" xfId="0" applyFont="1" applyFill="1"/>
    <xf numFmtId="4" fontId="17" fillId="0" borderId="0" xfId="0" applyNumberFormat="1" applyFont="1" applyFill="1" applyAlignment="1">
      <alignment horizontal="center"/>
    </xf>
    <xf numFmtId="0" fontId="0" fillId="10" borderId="75" xfId="0" applyFill="1" applyBorder="1"/>
    <xf numFmtId="0" fontId="45" fillId="11" borderId="76" xfId="0" applyFont="1" applyFill="1" applyBorder="1" applyAlignment="1">
      <alignment horizontal="center" vertical="center" wrapText="1"/>
    </xf>
    <xf numFmtId="0" fontId="45" fillId="11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 applyProtection="1">
      <alignment horizontal="center" vertical="center" wrapText="1"/>
      <protection hidden="1"/>
    </xf>
    <xf numFmtId="0" fontId="45" fillId="10" borderId="1" xfId="0" applyFont="1" applyFill="1" applyBorder="1" applyAlignment="1">
      <alignment horizontal="center" vertical="center" wrapText="1"/>
    </xf>
    <xf numFmtId="0" fontId="45" fillId="11" borderId="77" xfId="0" applyFont="1" applyFill="1" applyBorder="1" applyAlignment="1">
      <alignment horizontal="center" vertical="center" wrapText="1"/>
    </xf>
    <xf numFmtId="0" fontId="45" fillId="11" borderId="78" xfId="0" applyFont="1" applyFill="1" applyBorder="1" applyAlignment="1">
      <alignment horizontal="center" vertical="center" wrapText="1"/>
    </xf>
    <xf numFmtId="0" fontId="45" fillId="12" borderId="79" xfId="0" applyFont="1" applyFill="1" applyBorder="1" applyAlignment="1" applyProtection="1">
      <alignment horizontal="center"/>
      <protection locked="0"/>
    </xf>
    <xf numFmtId="0" fontId="45" fillId="12" borderId="10" xfId="0" applyFont="1" applyFill="1" applyBorder="1" applyAlignment="1" applyProtection="1">
      <alignment horizontal="center"/>
      <protection locked="0"/>
    </xf>
    <xf numFmtId="0" fontId="0" fillId="12" borderId="10" xfId="0" applyFill="1" applyBorder="1" applyAlignment="1" applyProtection="1">
      <alignment horizontal="center"/>
      <protection locked="0"/>
    </xf>
    <xf numFmtId="0" fontId="0" fillId="13" borderId="10" xfId="0" applyFill="1" applyBorder="1" applyAlignment="1" applyProtection="1">
      <alignment horizontal="center"/>
      <protection hidden="1"/>
    </xf>
    <xf numFmtId="167" fontId="45" fillId="7" borderId="10" xfId="3" applyNumberFormat="1" applyFont="1" applyFill="1" applyBorder="1" applyAlignment="1">
      <alignment horizontal="center"/>
    </xf>
    <xf numFmtId="2" fontId="0" fillId="0" borderId="80" xfId="0" applyNumberFormat="1" applyBorder="1"/>
    <xf numFmtId="2" fontId="0" fillId="0" borderId="81" xfId="0" applyNumberFormat="1" applyBorder="1"/>
    <xf numFmtId="0" fontId="45" fillId="14" borderId="79" xfId="0" applyFont="1" applyFill="1" applyBorder="1" applyAlignment="1" applyProtection="1">
      <alignment horizontal="center"/>
      <protection locked="0"/>
    </xf>
    <xf numFmtId="0" fontId="45" fillId="14" borderId="10" xfId="0" applyFont="1" applyFill="1" applyBorder="1" applyAlignment="1" applyProtection="1">
      <alignment horizontal="center"/>
      <protection locked="0"/>
    </xf>
    <xf numFmtId="0" fontId="0" fillId="14" borderId="10" xfId="0" applyFill="1" applyBorder="1" applyAlignment="1" applyProtection="1">
      <alignment horizontal="center"/>
      <protection locked="0"/>
    </xf>
    <xf numFmtId="0" fontId="0" fillId="15" borderId="10" xfId="0" applyFill="1" applyBorder="1" applyAlignment="1" applyProtection="1">
      <alignment horizontal="center"/>
      <protection hidden="1"/>
    </xf>
    <xf numFmtId="0" fontId="45" fillId="16" borderId="79" xfId="0" applyFont="1" applyFill="1" applyBorder="1" applyAlignment="1" applyProtection="1">
      <alignment horizontal="center"/>
      <protection locked="0"/>
    </xf>
    <xf numFmtId="0" fontId="45" fillId="16" borderId="10" xfId="0" applyFont="1" applyFill="1" applyBorder="1" applyAlignment="1" applyProtection="1">
      <alignment horizontal="center"/>
      <protection locked="0"/>
    </xf>
    <xf numFmtId="0" fontId="0" fillId="16" borderId="10" xfId="0" applyFill="1" applyBorder="1" applyAlignment="1" applyProtection="1">
      <alignment horizontal="center"/>
      <protection locked="0"/>
    </xf>
    <xf numFmtId="0" fontId="0" fillId="17" borderId="10" xfId="0" applyFill="1" applyBorder="1" applyAlignment="1" applyProtection="1">
      <alignment horizontal="center"/>
      <protection hidden="1"/>
    </xf>
    <xf numFmtId="0" fontId="45" fillId="18" borderId="85" xfId="0" applyFont="1" applyFill="1" applyBorder="1" applyAlignment="1" applyProtection="1">
      <alignment horizontal="center"/>
      <protection hidden="1"/>
    </xf>
    <xf numFmtId="167" fontId="45" fillId="18" borderId="86" xfId="3" applyNumberFormat="1" applyFont="1" applyFill="1" applyBorder="1" applyAlignment="1">
      <alignment horizontal="center"/>
    </xf>
    <xf numFmtId="168" fontId="17" fillId="18" borderId="87" xfId="0" applyNumberFormat="1" applyFont="1" applyFill="1" applyBorder="1"/>
    <xf numFmtId="4" fontId="45" fillId="18" borderId="88" xfId="0" applyNumberFormat="1" applyFont="1" applyFill="1" applyBorder="1"/>
    <xf numFmtId="0" fontId="15" fillId="2" borderId="0" xfId="0" applyFont="1" applyFill="1" applyAlignment="1">
      <alignment horizontal="center"/>
    </xf>
    <xf numFmtId="0" fontId="14" fillId="2" borderId="0" xfId="1" applyNumberFormat="1" applyFont="1" applyFill="1" applyAlignment="1" applyProtection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" fontId="3" fillId="3" borderId="4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7" fillId="2" borderId="0" xfId="0" applyNumberFormat="1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top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49" fillId="9" borderId="73" xfId="0" applyFont="1" applyFill="1" applyBorder="1" applyAlignment="1">
      <alignment horizontal="center" vertical="center"/>
    </xf>
    <xf numFmtId="0" fontId="49" fillId="9" borderId="74" xfId="0" applyFont="1" applyFill="1" applyBorder="1" applyAlignment="1">
      <alignment horizontal="center" vertical="center"/>
    </xf>
    <xf numFmtId="0" fontId="17" fillId="18" borderId="82" xfId="0" applyFont="1" applyFill="1" applyBorder="1" applyAlignment="1">
      <alignment horizontal="center"/>
    </xf>
    <xf numFmtId="0" fontId="17" fillId="18" borderId="83" xfId="0" applyFont="1" applyFill="1" applyBorder="1" applyAlignment="1">
      <alignment horizontal="center"/>
    </xf>
    <xf numFmtId="0" fontId="17" fillId="18" borderId="84" xfId="0" applyFont="1" applyFill="1" applyBorder="1" applyAlignment="1">
      <alignment horizontal="center"/>
    </xf>
  </cellXfs>
  <cellStyles count="4">
    <cellStyle name="Lien hypertexte" xfId="1" builtinId="8"/>
    <cellStyle name="Milliers" xfId="2" builtinId="3"/>
    <cellStyle name="Normal" xfId="0" builtinId="0"/>
    <cellStyle name="Pourcentag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672536" cy="695324"/>
    <xdr:pic>
      <xdr:nvPicPr>
        <xdr:cNvPr id="2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672536" cy="695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0</xdr:row>
      <xdr:rowOff>76200</xdr:rowOff>
    </xdr:from>
    <xdr:ext cx="561975" cy="549910"/>
    <xdr:pic>
      <xdr:nvPicPr>
        <xdr:cNvPr id="3" name="image2.png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143500" y="76200"/>
          <a:ext cx="561975" cy="549910"/>
        </a:xfrm>
        <a:prstGeom prst="rect">
          <a:avLst/>
        </a:prstGeom>
      </xdr:spPr>
    </xdr:pic>
    <xdr:clientData/>
  </xdr:oneCellAnchor>
  <xdr:oneCellAnchor>
    <xdr:from>
      <xdr:col>4</xdr:col>
      <xdr:colOff>276225</xdr:colOff>
      <xdr:row>0</xdr:row>
      <xdr:rowOff>114300</xdr:rowOff>
    </xdr:from>
    <xdr:ext cx="476250" cy="409575"/>
    <xdr:pic>
      <xdr:nvPicPr>
        <xdr:cNvPr id="4" name="image3.png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10250" y="114300"/>
          <a:ext cx="476250" cy="409575"/>
        </a:xfrm>
        <a:prstGeom prst="rect">
          <a:avLst/>
        </a:prstGeom>
      </xdr:spPr>
    </xdr:pic>
    <xdr:clientData/>
  </xdr:oneCellAnchor>
  <xdr:oneCellAnchor>
    <xdr:from>
      <xdr:col>4</xdr:col>
      <xdr:colOff>895350</xdr:colOff>
      <xdr:row>0</xdr:row>
      <xdr:rowOff>66675</xdr:rowOff>
    </xdr:from>
    <xdr:ext cx="714375" cy="514350"/>
    <xdr:pic>
      <xdr:nvPicPr>
        <xdr:cNvPr id="5" name="image4.png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429375" y="66675"/>
          <a:ext cx="714375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3</xdr:col>
      <xdr:colOff>171450</xdr:colOff>
      <xdr:row>5</xdr:row>
      <xdr:rowOff>133350</xdr:rowOff>
    </xdr:to>
    <xdr:pic>
      <xdr:nvPicPr>
        <xdr:cNvPr id="2" name="Picture 2" descr="Logo bleu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"/>
          <a:ext cx="31813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2</xdr:col>
      <xdr:colOff>942976</xdr:colOff>
      <xdr:row>41</xdr:row>
      <xdr:rowOff>85725</xdr:rowOff>
    </xdr:from>
    <xdr:to>
      <xdr:col>7</xdr:col>
      <xdr:colOff>781050</xdr:colOff>
      <xdr:row>50</xdr:row>
      <xdr:rowOff>171450</xdr:rowOff>
    </xdr:to>
    <xdr:pic>
      <xdr:nvPicPr>
        <xdr:cNvPr id="3" name="Image 2" descr="C:\Users\h.hinni\Downloads\Capture d’écran 2024-11-26 151845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6" y="8277225"/>
          <a:ext cx="5362574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pccarton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C29" sqref="C29"/>
    </sheetView>
  </sheetViews>
  <sheetFormatPr baseColWidth="10" defaultRowHeight="15"/>
  <cols>
    <col min="1" max="1" width="15" bestFit="1" customWidth="1"/>
    <col min="2" max="2" width="28.5703125" customWidth="1"/>
    <col min="3" max="3" width="29" customWidth="1"/>
    <col min="4" max="4" width="10.42578125" customWidth="1"/>
    <col min="5" max="5" width="25.7109375" customWidth="1"/>
  </cols>
  <sheetData>
    <row r="1" spans="1:5">
      <c r="A1" s="24"/>
      <c r="B1" s="24"/>
      <c r="C1" s="32"/>
      <c r="D1" s="32"/>
      <c r="E1" s="32"/>
    </row>
    <row r="2" spans="1:5">
      <c r="A2" s="24"/>
      <c r="B2" s="24"/>
      <c r="C2" s="32"/>
      <c r="D2" s="32"/>
      <c r="E2" s="32"/>
    </row>
    <row r="3" spans="1:5">
      <c r="A3" s="24"/>
      <c r="B3" s="24"/>
      <c r="C3" s="32"/>
      <c r="D3" s="32"/>
      <c r="E3" s="32"/>
    </row>
    <row r="4" spans="1:5">
      <c r="A4" s="24"/>
      <c r="B4" s="24"/>
      <c r="C4" s="32"/>
      <c r="D4" s="32"/>
      <c r="E4" s="32"/>
    </row>
    <row r="5" spans="1:5">
      <c r="A5" s="24"/>
      <c r="B5" s="24"/>
      <c r="C5" s="32"/>
      <c r="D5" s="32"/>
      <c r="E5" s="32"/>
    </row>
    <row r="6" spans="1:5">
      <c r="A6" s="24"/>
      <c r="B6" s="24"/>
      <c r="C6" s="32"/>
      <c r="D6" s="32"/>
      <c r="E6" s="32"/>
    </row>
    <row r="7" spans="1:5" ht="18.75">
      <c r="A7" s="24"/>
      <c r="B7" s="24"/>
      <c r="C7" s="37" t="s">
        <v>26</v>
      </c>
      <c r="D7" s="36" t="s">
        <v>33</v>
      </c>
      <c r="E7" s="35"/>
    </row>
    <row r="8" spans="1:5" ht="15.75">
      <c r="A8" s="24"/>
      <c r="B8" s="24"/>
      <c r="C8" s="34">
        <v>45841</v>
      </c>
      <c r="D8" s="25"/>
      <c r="E8" s="33" t="s">
        <v>25</v>
      </c>
    </row>
    <row r="9" spans="1:5">
      <c r="A9" s="24"/>
      <c r="B9" s="24"/>
      <c r="C9" s="26"/>
      <c r="D9" s="25"/>
      <c r="E9" s="32"/>
    </row>
    <row r="10" spans="1:5" ht="21">
      <c r="A10" s="24" t="s">
        <v>24</v>
      </c>
      <c r="B10" s="24" t="s">
        <v>29</v>
      </c>
      <c r="C10" s="244" t="s">
        <v>27</v>
      </c>
      <c r="D10" s="244"/>
      <c r="E10" s="244"/>
    </row>
    <row r="11" spans="1:5">
      <c r="A11" s="24" t="s">
        <v>23</v>
      </c>
      <c r="B11" s="31"/>
      <c r="C11" s="245" t="s">
        <v>28</v>
      </c>
      <c r="D11" s="245"/>
      <c r="E11" s="245"/>
    </row>
    <row r="12" spans="1:5">
      <c r="A12" s="24" t="s">
        <v>22</v>
      </c>
      <c r="B12" s="30"/>
      <c r="C12" s="245"/>
      <c r="D12" s="245"/>
      <c r="E12" s="245"/>
    </row>
    <row r="13" spans="1:5">
      <c r="A13" s="24" t="s">
        <v>21</v>
      </c>
      <c r="B13" s="29"/>
      <c r="C13" s="28"/>
      <c r="D13" s="28"/>
      <c r="E13" s="24"/>
    </row>
    <row r="14" spans="1:5">
      <c r="A14" s="24" t="s">
        <v>20</v>
      </c>
      <c r="B14" s="27" t="s">
        <v>30</v>
      </c>
      <c r="C14" s="28"/>
      <c r="D14" s="28"/>
      <c r="E14" s="24"/>
    </row>
    <row r="15" spans="1:5">
      <c r="A15" s="24" t="s">
        <v>19</v>
      </c>
      <c r="B15" s="27" t="s">
        <v>18</v>
      </c>
      <c r="C15" s="26"/>
      <c r="D15" s="25"/>
      <c r="E15" s="24"/>
    </row>
    <row r="16" spans="1:5">
      <c r="A16" s="24"/>
      <c r="B16" s="24"/>
      <c r="C16" s="26"/>
      <c r="D16" s="25"/>
      <c r="E16" s="24"/>
    </row>
    <row r="17" spans="1:8">
      <c r="A17" s="23" t="s">
        <v>17</v>
      </c>
      <c r="B17" s="22" t="s">
        <v>16</v>
      </c>
      <c r="C17" s="21" t="s">
        <v>15</v>
      </c>
      <c r="D17" s="20" t="s">
        <v>14</v>
      </c>
      <c r="E17" s="20" t="s">
        <v>13</v>
      </c>
    </row>
    <row r="18" spans="1:8">
      <c r="A18" s="15"/>
      <c r="B18" s="18"/>
      <c r="C18" s="17"/>
      <c r="D18" s="12"/>
      <c r="E18" s="16"/>
    </row>
    <row r="19" spans="1:8" ht="18" customHeight="1">
      <c r="A19" s="40" t="s">
        <v>31</v>
      </c>
      <c r="B19" s="39" t="s">
        <v>32</v>
      </c>
      <c r="C19" s="19">
        <v>50000</v>
      </c>
      <c r="D19" s="12">
        <v>5.53</v>
      </c>
      <c r="E19" s="38">
        <f>C19*D19</f>
        <v>276500</v>
      </c>
    </row>
    <row r="20" spans="1:8">
      <c r="A20" s="40" t="s">
        <v>35</v>
      </c>
      <c r="B20" s="18" t="s">
        <v>36</v>
      </c>
      <c r="C20" s="17">
        <v>50000</v>
      </c>
      <c r="D20" s="12">
        <v>4.6399999999999997</v>
      </c>
      <c r="E20" s="38">
        <f>C20*D20</f>
        <v>231999.99999999997</v>
      </c>
    </row>
    <row r="21" spans="1:8">
      <c r="A21" s="40" t="s">
        <v>37</v>
      </c>
      <c r="B21" s="18" t="s">
        <v>38</v>
      </c>
      <c r="C21" s="17">
        <v>50000</v>
      </c>
      <c r="D21" s="12">
        <v>4.6399999999999997</v>
      </c>
      <c r="E21" s="38">
        <f>C21*D21</f>
        <v>231999.99999999997</v>
      </c>
      <c r="H21" s="41"/>
    </row>
    <row r="22" spans="1:8">
      <c r="A22" s="40" t="s">
        <v>34</v>
      </c>
      <c r="B22" s="18" t="s">
        <v>39</v>
      </c>
      <c r="C22" s="17">
        <v>50000</v>
      </c>
      <c r="D22" s="12">
        <v>4.6500000000000004</v>
      </c>
      <c r="E22" s="38">
        <f>C22*D22</f>
        <v>232500.00000000003</v>
      </c>
    </row>
    <row r="23" spans="1:8">
      <c r="A23" s="15"/>
      <c r="B23" s="14"/>
      <c r="C23" s="13"/>
      <c r="D23" s="12"/>
      <c r="E23" s="11"/>
    </row>
    <row r="24" spans="1:8">
      <c r="A24" s="10"/>
      <c r="B24" s="9"/>
      <c r="C24" s="8"/>
      <c r="D24" s="7"/>
      <c r="E24" s="6"/>
    </row>
    <row r="25" spans="1:8" s="44" customFormat="1">
      <c r="A25" s="42"/>
      <c r="B25" s="43"/>
      <c r="C25" s="238" t="s">
        <v>12</v>
      </c>
      <c r="D25" s="239"/>
      <c r="E25" s="242">
        <f>E19+E20+E21+E22</f>
        <v>973000</v>
      </c>
    </row>
    <row r="26" spans="1:8" s="44" customFormat="1" ht="6" customHeight="1">
      <c r="A26" s="45"/>
      <c r="B26" s="46"/>
      <c r="C26" s="240"/>
      <c r="D26" s="241"/>
      <c r="E26" s="243"/>
    </row>
    <row r="27" spans="1:8">
      <c r="A27" s="2"/>
      <c r="B27" s="2"/>
      <c r="C27" s="5"/>
      <c r="D27" s="5"/>
      <c r="E27" s="2"/>
    </row>
    <row r="28" spans="1:8">
      <c r="A28" s="2"/>
      <c r="B28" s="2"/>
      <c r="C28" s="5"/>
      <c r="D28" s="5"/>
      <c r="E28" s="2"/>
    </row>
    <row r="29" spans="1:8" ht="398.25" customHeight="1">
      <c r="A29" s="2"/>
      <c r="B29" s="2"/>
      <c r="C29" s="5"/>
      <c r="D29" s="5"/>
      <c r="E29" s="2"/>
    </row>
    <row r="30" spans="1:8">
      <c r="A30" s="2"/>
      <c r="B30" s="2"/>
      <c r="C30" s="5"/>
      <c r="D30" s="5"/>
      <c r="E30" s="2"/>
    </row>
    <row r="31" spans="1:8">
      <c r="A31" s="2"/>
      <c r="B31" s="2"/>
      <c r="C31" s="4"/>
      <c r="D31" s="3"/>
      <c r="E31" s="2"/>
    </row>
    <row r="32" spans="1:8" s="48" customFormat="1" ht="12.75">
      <c r="A32" s="246" t="s">
        <v>40</v>
      </c>
      <c r="B32" s="246"/>
      <c r="C32" s="246"/>
      <c r="D32" s="246"/>
      <c r="E32" s="246"/>
    </row>
    <row r="33" spans="1:6" s="48" customFormat="1" ht="12.75">
      <c r="A33" s="236" t="s">
        <v>11</v>
      </c>
      <c r="B33" s="236"/>
      <c r="C33" s="236"/>
      <c r="D33" s="236"/>
      <c r="E33" s="236"/>
    </row>
    <row r="34" spans="1:6" s="48" customFormat="1" ht="12.75">
      <c r="A34" s="49" t="s">
        <v>10</v>
      </c>
      <c r="B34" s="247" t="s">
        <v>9</v>
      </c>
      <c r="C34" s="247"/>
      <c r="D34" s="247"/>
      <c r="E34" s="247"/>
    </row>
    <row r="35" spans="1:6" s="48" customFormat="1" ht="12.75">
      <c r="A35" s="49" t="s">
        <v>8</v>
      </c>
      <c r="B35" s="247" t="s">
        <v>7</v>
      </c>
      <c r="C35" s="247"/>
      <c r="D35" s="247"/>
      <c r="E35" s="247"/>
    </row>
    <row r="36" spans="1:6" s="48" customFormat="1" ht="12.75">
      <c r="A36" s="49" t="s">
        <v>6</v>
      </c>
      <c r="B36" s="49" t="s">
        <v>5</v>
      </c>
      <c r="C36" s="49"/>
      <c r="D36" s="49"/>
      <c r="E36" s="49"/>
    </row>
    <row r="37" spans="1:6" s="48" customFormat="1" ht="12.75">
      <c r="A37" s="49" t="s">
        <v>4</v>
      </c>
      <c r="B37" s="49" t="s">
        <v>3</v>
      </c>
      <c r="C37" s="49"/>
      <c r="D37" s="49"/>
      <c r="E37" s="49"/>
    </row>
    <row r="38" spans="1:6" s="48" customFormat="1" ht="12.75">
      <c r="A38" s="236" t="s">
        <v>2</v>
      </c>
      <c r="B38" s="236"/>
      <c r="C38" s="236"/>
      <c r="D38" s="236"/>
      <c r="E38" s="236"/>
    </row>
    <row r="39" spans="1:6" s="48" customFormat="1" ht="12.75">
      <c r="A39" s="237" t="s">
        <v>1</v>
      </c>
      <c r="B39" s="237"/>
      <c r="C39" s="237"/>
      <c r="D39" s="237"/>
      <c r="E39" s="50" t="s">
        <v>0</v>
      </c>
    </row>
    <row r="40" spans="1:6">
      <c r="A40" s="1"/>
      <c r="B40" s="1"/>
      <c r="C40" s="1"/>
      <c r="D40" s="1"/>
      <c r="E40" s="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/>
      <c r="C42" s="1"/>
      <c r="D42" s="1"/>
      <c r="E42" s="1"/>
      <c r="F42" s="1"/>
    </row>
  </sheetData>
  <mergeCells count="10">
    <mergeCell ref="A38:E38"/>
    <mergeCell ref="A39:D39"/>
    <mergeCell ref="C25:D26"/>
    <mergeCell ref="E25:E26"/>
    <mergeCell ref="C10:E10"/>
    <mergeCell ref="C11:E12"/>
    <mergeCell ref="A32:E32"/>
    <mergeCell ref="A33:E33"/>
    <mergeCell ref="B34:E34"/>
    <mergeCell ref="B35:E35"/>
  </mergeCells>
  <hyperlinks>
    <hyperlink ref="A39" r:id="rId1"/>
  </hyperlinks>
  <pageMargins left="0.7" right="0.7" top="0.75" bottom="0.75" header="0.3" footer="0.3"/>
  <pageSetup paperSize="9"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0"/>
  <sheetViews>
    <sheetView workbookViewId="0">
      <selection activeCell="M2" sqref="M2:M7"/>
    </sheetView>
  </sheetViews>
  <sheetFormatPr baseColWidth="10" defaultRowHeight="15"/>
  <cols>
    <col min="2" max="2" width="21.28515625" customWidth="1"/>
    <col min="5" max="5" width="21.85546875" customWidth="1"/>
  </cols>
  <sheetData>
    <row r="1" spans="1:13">
      <c r="E1" s="203" t="s">
        <v>112</v>
      </c>
    </row>
    <row r="2" spans="1:13">
      <c r="K2" t="s">
        <v>113</v>
      </c>
      <c r="L2" s="198">
        <f>+F4+F21+F38+F56</f>
        <v>53397</v>
      </c>
      <c r="M2" s="198"/>
    </row>
    <row r="3" spans="1:13">
      <c r="I3" s="204" t="s">
        <v>31</v>
      </c>
      <c r="K3" t="s">
        <v>115</v>
      </c>
      <c r="L3" s="207">
        <f>+H13+H30+H47+H65</f>
        <v>19335.301507537682</v>
      </c>
      <c r="M3" s="207"/>
    </row>
    <row r="4" spans="1:13" ht="15.75">
      <c r="A4" s="205" t="s">
        <v>114</v>
      </c>
      <c r="B4" s="206">
        <v>1.38</v>
      </c>
      <c r="E4" s="196" t="s">
        <v>111</v>
      </c>
      <c r="F4" s="197">
        <f>+F5*0.85</f>
        <v>15019.5</v>
      </c>
      <c r="K4" t="s">
        <v>131</v>
      </c>
      <c r="L4" s="207">
        <f>+H15+H32+H49+H67</f>
        <v>22892.996984924619</v>
      </c>
      <c r="M4" s="207"/>
    </row>
    <row r="5" spans="1:13" ht="15.75">
      <c r="A5" s="205" t="s">
        <v>116</v>
      </c>
      <c r="B5" s="206">
        <v>1.48</v>
      </c>
      <c r="E5" s="208" t="s">
        <v>117</v>
      </c>
      <c r="F5" s="209">
        <f>50000*0.3534</f>
        <v>17670</v>
      </c>
      <c r="G5">
        <f>+F5*0.85</f>
        <v>15019.5</v>
      </c>
      <c r="K5" t="s">
        <v>121</v>
      </c>
      <c r="L5" s="207">
        <f>+H17+H34+H51+H69</f>
        <v>19335.301507537682</v>
      </c>
      <c r="M5" s="207"/>
    </row>
    <row r="6" spans="1:13" ht="15.75">
      <c r="A6" s="205" t="s">
        <v>118</v>
      </c>
      <c r="B6" s="206">
        <v>1.32</v>
      </c>
      <c r="E6" s="208" t="s">
        <v>119</v>
      </c>
      <c r="F6" s="209">
        <f>+G5-G5*0.02</f>
        <v>14719.11</v>
      </c>
      <c r="G6" s="181" t="s">
        <v>120</v>
      </c>
      <c r="L6" s="207">
        <f>SUM(L3:L5)</f>
        <v>61563.599999999984</v>
      </c>
      <c r="M6" s="207"/>
    </row>
    <row r="7" spans="1:13">
      <c r="L7" s="198"/>
    </row>
    <row r="9" spans="1:13" ht="15.75" thickBot="1"/>
    <row r="10" spans="1:13" ht="19.5" thickBot="1">
      <c r="A10" s="248" t="s">
        <v>122</v>
      </c>
      <c r="B10" s="249"/>
      <c r="C10" s="249"/>
      <c r="D10" s="249"/>
      <c r="E10" s="249"/>
      <c r="F10" s="249"/>
      <c r="G10" s="249"/>
      <c r="H10" s="210"/>
    </row>
    <row r="11" spans="1:13" ht="45">
      <c r="A11" s="211" t="s">
        <v>123</v>
      </c>
      <c r="B11" s="212" t="s">
        <v>124</v>
      </c>
      <c r="C11" s="212" t="s">
        <v>125</v>
      </c>
      <c r="D11" s="212" t="s">
        <v>126</v>
      </c>
      <c r="E11" s="213"/>
      <c r="F11" s="214" t="s">
        <v>104</v>
      </c>
      <c r="G11" s="215" t="s">
        <v>127</v>
      </c>
      <c r="H11" s="216" t="s">
        <v>128</v>
      </c>
    </row>
    <row r="12" spans="1:13">
      <c r="A12" s="217" t="s">
        <v>129</v>
      </c>
      <c r="B12" s="218" t="s">
        <v>130</v>
      </c>
      <c r="C12" s="219">
        <v>0</v>
      </c>
      <c r="D12" s="219"/>
      <c r="E12" s="220">
        <f>+C12</f>
        <v>0</v>
      </c>
      <c r="F12" s="221">
        <f>+E12/E18</f>
        <v>0</v>
      </c>
      <c r="G12" s="222">
        <f>+F12*F6</f>
        <v>0</v>
      </c>
      <c r="H12" s="223">
        <f t="shared" ref="H12:H17" si="0">+G12*100/85</f>
        <v>0</v>
      </c>
    </row>
    <row r="13" spans="1:13">
      <c r="A13" s="217" t="s">
        <v>115</v>
      </c>
      <c r="B13" s="218">
        <v>480419</v>
      </c>
      <c r="C13" s="219">
        <v>175</v>
      </c>
      <c r="D13" s="219"/>
      <c r="E13" s="220">
        <f>+C13</f>
        <v>175</v>
      </c>
      <c r="F13" s="221">
        <f>+E13/E18</f>
        <v>0.31407035175879394</v>
      </c>
      <c r="G13" s="222">
        <f>+F6*F13</f>
        <v>4622.8360552763816</v>
      </c>
      <c r="H13" s="223">
        <f t="shared" si="0"/>
        <v>5438.6306532663311</v>
      </c>
    </row>
    <row r="14" spans="1:13">
      <c r="A14" s="224" t="s">
        <v>131</v>
      </c>
      <c r="B14" s="225" t="s">
        <v>132</v>
      </c>
      <c r="C14" s="226">
        <v>0</v>
      </c>
      <c r="D14" s="226" t="s">
        <v>114</v>
      </c>
      <c r="E14" s="227">
        <f>C14*B4</f>
        <v>0</v>
      </c>
      <c r="F14" s="221">
        <f>+E14/E18</f>
        <v>0</v>
      </c>
      <c r="G14" s="222">
        <f>+F14*F6</f>
        <v>0</v>
      </c>
      <c r="H14" s="223">
        <f t="shared" si="0"/>
        <v>0</v>
      </c>
    </row>
    <row r="15" spans="1:13">
      <c r="A15" s="224" t="s">
        <v>131</v>
      </c>
      <c r="B15" s="225" t="s">
        <v>132</v>
      </c>
      <c r="C15" s="226">
        <v>140</v>
      </c>
      <c r="D15" s="226" t="s">
        <v>116</v>
      </c>
      <c r="E15" s="227">
        <f>C15*B5</f>
        <v>207.2</v>
      </c>
      <c r="F15" s="221">
        <f>+E15/E18</f>
        <v>0.37185929648241201</v>
      </c>
      <c r="G15" s="222">
        <f>+F6*F15</f>
        <v>5473.4378894472356</v>
      </c>
      <c r="H15" s="223">
        <f t="shared" si="0"/>
        <v>6439.3386934673363</v>
      </c>
    </row>
    <row r="16" spans="1:13">
      <c r="A16" s="228" t="s">
        <v>133</v>
      </c>
      <c r="B16" s="229" t="s">
        <v>134</v>
      </c>
      <c r="C16" s="230">
        <v>0</v>
      </c>
      <c r="D16" s="230"/>
      <c r="E16" s="231">
        <f>+C16</f>
        <v>0</v>
      </c>
      <c r="F16" s="221">
        <f>+E16/E18</f>
        <v>0</v>
      </c>
      <c r="G16" s="222">
        <f>+F16*F6</f>
        <v>0</v>
      </c>
      <c r="H16" s="223">
        <f t="shared" si="0"/>
        <v>0</v>
      </c>
    </row>
    <row r="17" spans="1:9">
      <c r="A17" s="228" t="s">
        <v>121</v>
      </c>
      <c r="B17" s="229">
        <v>408411</v>
      </c>
      <c r="C17" s="230">
        <v>175</v>
      </c>
      <c r="D17" s="230"/>
      <c r="E17" s="231">
        <f>+C17</f>
        <v>175</v>
      </c>
      <c r="F17" s="221">
        <f>+E17/E18</f>
        <v>0.31407035175879394</v>
      </c>
      <c r="G17" s="222">
        <f>+F17*F6</f>
        <v>4622.8360552763816</v>
      </c>
      <c r="H17" s="223">
        <f t="shared" si="0"/>
        <v>5438.6306532663311</v>
      </c>
    </row>
    <row r="18" spans="1:9" ht="16.5" thickBot="1">
      <c r="A18" s="250" t="s">
        <v>135</v>
      </c>
      <c r="B18" s="251"/>
      <c r="C18" s="251"/>
      <c r="D18" s="252"/>
      <c r="E18" s="232">
        <f>SUM(E12:E17)</f>
        <v>557.20000000000005</v>
      </c>
      <c r="F18" s="233">
        <f>SUM(F12:F17)</f>
        <v>0.99999999999999989</v>
      </c>
      <c r="G18" s="234">
        <f>SUM(G12:G17)</f>
        <v>14719.109999999997</v>
      </c>
      <c r="H18" s="235">
        <f>SUM(H12:H17)</f>
        <v>17316.599999999999</v>
      </c>
    </row>
    <row r="20" spans="1:9">
      <c r="I20" s="204" t="s">
        <v>35</v>
      </c>
    </row>
    <row r="21" spans="1:9" ht="15.75">
      <c r="A21" s="205" t="s">
        <v>114</v>
      </c>
      <c r="B21" s="206">
        <v>1.38</v>
      </c>
      <c r="E21" s="196" t="s">
        <v>111</v>
      </c>
      <c r="F21" s="197">
        <f>+F22*0.85</f>
        <v>12342</v>
      </c>
    </row>
    <row r="22" spans="1:9" ht="15.75">
      <c r="A22" s="205" t="s">
        <v>116</v>
      </c>
      <c r="B22" s="206">
        <v>1.48</v>
      </c>
      <c r="E22" s="208" t="s">
        <v>117</v>
      </c>
      <c r="F22" s="209">
        <f>50000*0.2904</f>
        <v>14520</v>
      </c>
      <c r="G22">
        <f>+F22*0.85</f>
        <v>12342</v>
      </c>
    </row>
    <row r="23" spans="1:9" ht="15.75">
      <c r="A23" s="205" t="s">
        <v>118</v>
      </c>
      <c r="B23" s="206">
        <v>1.32</v>
      </c>
      <c r="E23" s="208" t="s">
        <v>119</v>
      </c>
      <c r="F23" s="209">
        <f>+G22-G22*0.02</f>
        <v>12095.16</v>
      </c>
      <c r="G23" s="181" t="s">
        <v>120</v>
      </c>
    </row>
    <row r="26" spans="1:9" ht="15.75" thickBot="1"/>
    <row r="27" spans="1:9" ht="19.5" thickBot="1">
      <c r="A27" s="248" t="s">
        <v>122</v>
      </c>
      <c r="B27" s="249"/>
      <c r="C27" s="249"/>
      <c r="D27" s="249"/>
      <c r="E27" s="249"/>
      <c r="F27" s="249"/>
      <c r="G27" s="249"/>
      <c r="H27" s="210"/>
    </row>
    <row r="28" spans="1:9" ht="45">
      <c r="A28" s="211" t="s">
        <v>123</v>
      </c>
      <c r="B28" s="212" t="s">
        <v>124</v>
      </c>
      <c r="C28" s="212" t="s">
        <v>125</v>
      </c>
      <c r="D28" s="212" t="s">
        <v>126</v>
      </c>
      <c r="E28" s="213"/>
      <c r="F28" s="214" t="s">
        <v>104</v>
      </c>
      <c r="G28" s="215" t="s">
        <v>127</v>
      </c>
      <c r="H28" s="216" t="s">
        <v>128</v>
      </c>
    </row>
    <row r="29" spans="1:9">
      <c r="A29" s="217" t="s">
        <v>129</v>
      </c>
      <c r="B29" s="218" t="s">
        <v>130</v>
      </c>
      <c r="C29" s="219">
        <v>0</v>
      </c>
      <c r="D29" s="219"/>
      <c r="E29" s="220">
        <f>+C29</f>
        <v>0</v>
      </c>
      <c r="F29" s="221">
        <f>+E29/E35</f>
        <v>0</v>
      </c>
      <c r="G29" s="222">
        <f>+F29*F23</f>
        <v>0</v>
      </c>
      <c r="H29" s="223">
        <f t="shared" ref="H29:H34" si="1">+G29*100/85</f>
        <v>0</v>
      </c>
    </row>
    <row r="30" spans="1:9">
      <c r="A30" s="217" t="s">
        <v>115</v>
      </c>
      <c r="B30" s="218">
        <v>480419</v>
      </c>
      <c r="C30" s="219">
        <v>175</v>
      </c>
      <c r="D30" s="219"/>
      <c r="E30" s="220">
        <f>+C30</f>
        <v>175</v>
      </c>
      <c r="F30" s="221">
        <f>+E30/E35</f>
        <v>0.31407035175879394</v>
      </c>
      <c r="G30" s="222">
        <f>+F23*F30</f>
        <v>3798.7311557788939</v>
      </c>
      <c r="H30" s="223">
        <f t="shared" si="1"/>
        <v>4469.0954773869335</v>
      </c>
    </row>
    <row r="31" spans="1:9">
      <c r="A31" s="224" t="s">
        <v>131</v>
      </c>
      <c r="B31" s="225" t="s">
        <v>132</v>
      </c>
      <c r="C31" s="226">
        <v>0</v>
      </c>
      <c r="D31" s="226" t="s">
        <v>114</v>
      </c>
      <c r="E31" s="227">
        <f>C31*B21</f>
        <v>0</v>
      </c>
      <c r="F31" s="221">
        <f>+E31/E35</f>
        <v>0</v>
      </c>
      <c r="G31" s="222">
        <f>+F31*F23</f>
        <v>0</v>
      </c>
      <c r="H31" s="223">
        <f t="shared" si="1"/>
        <v>0</v>
      </c>
    </row>
    <row r="32" spans="1:9">
      <c r="A32" s="224" t="s">
        <v>131</v>
      </c>
      <c r="B32" s="225" t="s">
        <v>132</v>
      </c>
      <c r="C32" s="226">
        <v>140</v>
      </c>
      <c r="D32" s="226" t="s">
        <v>116</v>
      </c>
      <c r="E32" s="227">
        <f>C32*B22</f>
        <v>207.2</v>
      </c>
      <c r="F32" s="221">
        <f>+E32/E35</f>
        <v>0.37185929648241201</v>
      </c>
      <c r="G32" s="222">
        <f>+F23*F32</f>
        <v>4497.6976884422102</v>
      </c>
      <c r="H32" s="223">
        <f t="shared" si="1"/>
        <v>5291.4090452261298</v>
      </c>
    </row>
    <row r="33" spans="1:9">
      <c r="A33" s="228" t="s">
        <v>133</v>
      </c>
      <c r="B33" s="229" t="s">
        <v>134</v>
      </c>
      <c r="C33" s="230">
        <v>0</v>
      </c>
      <c r="D33" s="230"/>
      <c r="E33" s="231">
        <f>+C33</f>
        <v>0</v>
      </c>
      <c r="F33" s="221">
        <f>+E33/E35</f>
        <v>0</v>
      </c>
      <c r="G33" s="222">
        <f>+F33*F23</f>
        <v>0</v>
      </c>
      <c r="H33" s="223">
        <f t="shared" si="1"/>
        <v>0</v>
      </c>
    </row>
    <row r="34" spans="1:9">
      <c r="A34" s="228" t="s">
        <v>121</v>
      </c>
      <c r="B34" s="229">
        <v>408411</v>
      </c>
      <c r="C34" s="230">
        <v>175</v>
      </c>
      <c r="D34" s="230"/>
      <c r="E34" s="231">
        <f>+C34</f>
        <v>175</v>
      </c>
      <c r="F34" s="221">
        <f>+E34/E35</f>
        <v>0.31407035175879394</v>
      </c>
      <c r="G34" s="222">
        <f>+F34*F23</f>
        <v>3798.7311557788939</v>
      </c>
      <c r="H34" s="223">
        <f t="shared" si="1"/>
        <v>4469.0954773869335</v>
      </c>
    </row>
    <row r="35" spans="1:9" ht="16.5" thickBot="1">
      <c r="A35" s="250" t="s">
        <v>135</v>
      </c>
      <c r="B35" s="251"/>
      <c r="C35" s="251"/>
      <c r="D35" s="252"/>
      <c r="E35" s="232">
        <f>SUM(E29:E34)</f>
        <v>557.20000000000005</v>
      </c>
      <c r="F35" s="233">
        <f>SUM(F29:F34)</f>
        <v>0.99999999999999989</v>
      </c>
      <c r="G35" s="234">
        <f>SUM(G29:G34)</f>
        <v>12095.159999999998</v>
      </c>
      <c r="H35" s="235">
        <f>SUM(H29:H34)</f>
        <v>14229.599999999999</v>
      </c>
    </row>
    <row r="37" spans="1:9">
      <c r="I37" s="204" t="s">
        <v>37</v>
      </c>
    </row>
    <row r="38" spans="1:9" ht="15.75">
      <c r="A38" s="205" t="s">
        <v>114</v>
      </c>
      <c r="B38" s="206">
        <v>1.38</v>
      </c>
      <c r="E38" s="196" t="s">
        <v>111</v>
      </c>
      <c r="F38" s="197">
        <f>+F39*0.85</f>
        <v>13119.749999999998</v>
      </c>
    </row>
    <row r="39" spans="1:9" ht="15.75">
      <c r="A39" s="205" t="s">
        <v>116</v>
      </c>
      <c r="B39" s="206">
        <v>1.48</v>
      </c>
      <c r="E39" s="208" t="s">
        <v>117</v>
      </c>
      <c r="F39" s="209">
        <f>50000*0.3087</f>
        <v>15434.999999999998</v>
      </c>
      <c r="G39">
        <f>+F39*0.85</f>
        <v>13119.749999999998</v>
      </c>
    </row>
    <row r="40" spans="1:9" ht="15.75">
      <c r="A40" s="205" t="s">
        <v>118</v>
      </c>
      <c r="B40" s="206">
        <v>1.32</v>
      </c>
      <c r="E40" s="208" t="s">
        <v>119</v>
      </c>
      <c r="F40" s="209">
        <f>+G39-G39*0.02</f>
        <v>12857.354999999998</v>
      </c>
      <c r="G40" s="181" t="s">
        <v>120</v>
      </c>
    </row>
    <row r="43" spans="1:9" ht="15.75" thickBot="1"/>
    <row r="44" spans="1:9" ht="19.5" thickBot="1">
      <c r="A44" s="248" t="s">
        <v>122</v>
      </c>
      <c r="B44" s="249"/>
      <c r="C44" s="249"/>
      <c r="D44" s="249"/>
      <c r="E44" s="249"/>
      <c r="F44" s="249"/>
      <c r="G44" s="249"/>
      <c r="H44" s="210"/>
    </row>
    <row r="45" spans="1:9" ht="45">
      <c r="A45" s="211" t="s">
        <v>123</v>
      </c>
      <c r="B45" s="212" t="s">
        <v>124</v>
      </c>
      <c r="C45" s="212" t="s">
        <v>125</v>
      </c>
      <c r="D45" s="212" t="s">
        <v>126</v>
      </c>
      <c r="E45" s="213"/>
      <c r="F45" s="214" t="s">
        <v>104</v>
      </c>
      <c r="G45" s="215" t="s">
        <v>127</v>
      </c>
      <c r="H45" s="216" t="s">
        <v>128</v>
      </c>
    </row>
    <row r="46" spans="1:9">
      <c r="A46" s="217" t="s">
        <v>129</v>
      </c>
      <c r="B46" s="218" t="s">
        <v>130</v>
      </c>
      <c r="C46" s="219">
        <v>0</v>
      </c>
      <c r="D46" s="219"/>
      <c r="E46" s="220">
        <f>+C46</f>
        <v>0</v>
      </c>
      <c r="F46" s="221">
        <f>+E46/E52</f>
        <v>0</v>
      </c>
      <c r="G46" s="222">
        <f>+F46*F40</f>
        <v>0</v>
      </c>
      <c r="H46" s="223">
        <f t="shared" ref="H46:H51" si="2">+G46*100/85</f>
        <v>0</v>
      </c>
    </row>
    <row r="47" spans="1:9">
      <c r="A47" s="217" t="s">
        <v>115</v>
      </c>
      <c r="B47" s="218">
        <v>480419</v>
      </c>
      <c r="C47" s="219">
        <v>175</v>
      </c>
      <c r="D47" s="219"/>
      <c r="E47" s="220">
        <f>+C47</f>
        <v>175</v>
      </c>
      <c r="F47" s="221">
        <f>+E47/E52</f>
        <v>0.31407035175879394</v>
      </c>
      <c r="G47" s="222">
        <f>+F40*F47</f>
        <v>4038.1140075376875</v>
      </c>
      <c r="H47" s="223">
        <f t="shared" si="2"/>
        <v>4750.7223618090438</v>
      </c>
    </row>
    <row r="48" spans="1:9">
      <c r="A48" s="224" t="s">
        <v>131</v>
      </c>
      <c r="B48" s="225" t="s">
        <v>132</v>
      </c>
      <c r="C48" s="226">
        <v>0</v>
      </c>
      <c r="D48" s="226" t="s">
        <v>114</v>
      </c>
      <c r="E48" s="227">
        <f>C48*B38</f>
        <v>0</v>
      </c>
      <c r="F48" s="221">
        <f>+E48/E52</f>
        <v>0</v>
      </c>
      <c r="G48" s="222">
        <f>+F48*F40</f>
        <v>0</v>
      </c>
      <c r="H48" s="223">
        <f t="shared" si="2"/>
        <v>0</v>
      </c>
    </row>
    <row r="49" spans="1:9">
      <c r="A49" s="224" t="s">
        <v>131</v>
      </c>
      <c r="B49" s="225" t="s">
        <v>132</v>
      </c>
      <c r="C49" s="226">
        <v>140</v>
      </c>
      <c r="D49" s="226" t="s">
        <v>116</v>
      </c>
      <c r="E49" s="227">
        <f>C49*B39</f>
        <v>207.2</v>
      </c>
      <c r="F49" s="221">
        <f>+E49/E52</f>
        <v>0.37185929648241201</v>
      </c>
      <c r="G49" s="222">
        <f>+F40*F49</f>
        <v>4781.1269849246219</v>
      </c>
      <c r="H49" s="223">
        <f t="shared" si="2"/>
        <v>5624.855276381908</v>
      </c>
    </row>
    <row r="50" spans="1:9">
      <c r="A50" s="228" t="s">
        <v>133</v>
      </c>
      <c r="B50" s="229" t="s">
        <v>134</v>
      </c>
      <c r="C50" s="230">
        <v>0</v>
      </c>
      <c r="D50" s="230"/>
      <c r="E50" s="231">
        <f>+C50</f>
        <v>0</v>
      </c>
      <c r="F50" s="221">
        <f>+E50/E52</f>
        <v>0</v>
      </c>
      <c r="G50" s="222">
        <f>+F50*F40</f>
        <v>0</v>
      </c>
      <c r="H50" s="223">
        <f t="shared" si="2"/>
        <v>0</v>
      </c>
    </row>
    <row r="51" spans="1:9">
      <c r="A51" s="228" t="s">
        <v>121</v>
      </c>
      <c r="B51" s="229">
        <v>408411</v>
      </c>
      <c r="C51" s="230">
        <v>175</v>
      </c>
      <c r="D51" s="230"/>
      <c r="E51" s="231">
        <f>+C51</f>
        <v>175</v>
      </c>
      <c r="F51" s="221">
        <f>+E51/E52</f>
        <v>0.31407035175879394</v>
      </c>
      <c r="G51" s="222">
        <f>+F51*F40</f>
        <v>4038.1140075376875</v>
      </c>
      <c r="H51" s="223">
        <f t="shared" si="2"/>
        <v>4750.7223618090438</v>
      </c>
    </row>
    <row r="52" spans="1:9" ht="16.5" thickBot="1">
      <c r="A52" s="250" t="s">
        <v>135</v>
      </c>
      <c r="B52" s="251"/>
      <c r="C52" s="251"/>
      <c r="D52" s="252"/>
      <c r="E52" s="232">
        <f>SUM(E46:E51)</f>
        <v>557.20000000000005</v>
      </c>
      <c r="F52" s="233">
        <f>SUM(F46:F51)</f>
        <v>0.99999999999999989</v>
      </c>
      <c r="G52" s="234">
        <f>SUM(G46:G51)</f>
        <v>12857.354999999998</v>
      </c>
      <c r="H52" s="235">
        <f>SUM(H46:H51)</f>
        <v>15126.299999999996</v>
      </c>
    </row>
    <row r="55" spans="1:9">
      <c r="I55" s="204" t="s">
        <v>34</v>
      </c>
    </row>
    <row r="56" spans="1:9" ht="15.75">
      <c r="A56" s="205" t="s">
        <v>114</v>
      </c>
      <c r="B56" s="206">
        <v>1.38</v>
      </c>
      <c r="E56" s="196" t="s">
        <v>111</v>
      </c>
      <c r="F56" s="197">
        <f>+F57*0.85</f>
        <v>12915.75</v>
      </c>
    </row>
    <row r="57" spans="1:9" ht="15.75">
      <c r="A57" s="205" t="s">
        <v>116</v>
      </c>
      <c r="B57" s="206">
        <v>1.48</v>
      </c>
      <c r="E57" s="208" t="s">
        <v>117</v>
      </c>
      <c r="F57" s="209">
        <f>50000*0.3039</f>
        <v>15195</v>
      </c>
      <c r="G57">
        <f>+F57*0.85</f>
        <v>12915.75</v>
      </c>
    </row>
    <row r="58" spans="1:9" ht="15.75">
      <c r="A58" s="205" t="s">
        <v>118</v>
      </c>
      <c r="B58" s="206">
        <v>1.32</v>
      </c>
      <c r="E58" s="208" t="s">
        <v>119</v>
      </c>
      <c r="F58" s="209">
        <f>+G57-G57*0.02</f>
        <v>12657.434999999999</v>
      </c>
      <c r="G58" s="181" t="s">
        <v>120</v>
      </c>
    </row>
    <row r="61" spans="1:9" ht="15.75" thickBot="1"/>
    <row r="62" spans="1:9" ht="19.5" thickBot="1">
      <c r="A62" s="248" t="s">
        <v>122</v>
      </c>
      <c r="B62" s="249"/>
      <c r="C62" s="249"/>
      <c r="D62" s="249"/>
      <c r="E62" s="249"/>
      <c r="F62" s="249"/>
      <c r="G62" s="249"/>
      <c r="H62" s="210"/>
    </row>
    <row r="63" spans="1:9" ht="45">
      <c r="A63" s="211" t="s">
        <v>123</v>
      </c>
      <c r="B63" s="212" t="s">
        <v>124</v>
      </c>
      <c r="C63" s="212" t="s">
        <v>125</v>
      </c>
      <c r="D63" s="212" t="s">
        <v>126</v>
      </c>
      <c r="E63" s="213"/>
      <c r="F63" s="214" t="s">
        <v>104</v>
      </c>
      <c r="G63" s="215" t="s">
        <v>127</v>
      </c>
      <c r="H63" s="216" t="s">
        <v>128</v>
      </c>
    </row>
    <row r="64" spans="1:9">
      <c r="A64" s="217" t="s">
        <v>129</v>
      </c>
      <c r="B64" s="218" t="s">
        <v>130</v>
      </c>
      <c r="C64" s="219">
        <v>0</v>
      </c>
      <c r="D64" s="219"/>
      <c r="E64" s="220">
        <f>+C64</f>
        <v>0</v>
      </c>
      <c r="F64" s="221">
        <f>+E64/E70</f>
        <v>0</v>
      </c>
      <c r="G64" s="222">
        <f>+F64*F58</f>
        <v>0</v>
      </c>
      <c r="H64" s="223">
        <f t="shared" ref="H64:H69" si="3">+G64*100/85</f>
        <v>0</v>
      </c>
    </row>
    <row r="65" spans="1:8">
      <c r="A65" s="217" t="s">
        <v>115</v>
      </c>
      <c r="B65" s="218">
        <v>480419</v>
      </c>
      <c r="C65" s="219">
        <v>175</v>
      </c>
      <c r="D65" s="219"/>
      <c r="E65" s="220">
        <f>+C65</f>
        <v>175</v>
      </c>
      <c r="F65" s="221">
        <f>+E65/E70</f>
        <v>0.31407035175879394</v>
      </c>
      <c r="G65" s="222">
        <f>+F58*F65</f>
        <v>3975.32506281407</v>
      </c>
      <c r="H65" s="223">
        <f t="shared" si="3"/>
        <v>4676.8530150753759</v>
      </c>
    </row>
    <row r="66" spans="1:8">
      <c r="A66" s="224" t="s">
        <v>131</v>
      </c>
      <c r="B66" s="225" t="s">
        <v>132</v>
      </c>
      <c r="C66" s="226">
        <v>0</v>
      </c>
      <c r="D66" s="226" t="s">
        <v>114</v>
      </c>
      <c r="E66" s="227">
        <f>C66*B56</f>
        <v>0</v>
      </c>
      <c r="F66" s="221">
        <f>+E66/E70</f>
        <v>0</v>
      </c>
      <c r="G66" s="222">
        <f>+F66*F58</f>
        <v>0</v>
      </c>
      <c r="H66" s="223">
        <f t="shared" si="3"/>
        <v>0</v>
      </c>
    </row>
    <row r="67" spans="1:8">
      <c r="A67" s="224" t="s">
        <v>131</v>
      </c>
      <c r="B67" s="225" t="s">
        <v>132</v>
      </c>
      <c r="C67" s="226">
        <v>140</v>
      </c>
      <c r="D67" s="226" t="s">
        <v>116</v>
      </c>
      <c r="E67" s="227">
        <f>C67*B57</f>
        <v>207.2</v>
      </c>
      <c r="F67" s="221">
        <f>+E67/E70</f>
        <v>0.37185929648241201</v>
      </c>
      <c r="G67" s="222">
        <f>+F58*F67</f>
        <v>4706.7848743718587</v>
      </c>
      <c r="H67" s="223">
        <f t="shared" si="3"/>
        <v>5537.3939698492459</v>
      </c>
    </row>
    <row r="68" spans="1:8">
      <c r="A68" s="228" t="s">
        <v>133</v>
      </c>
      <c r="B68" s="229" t="s">
        <v>134</v>
      </c>
      <c r="C68" s="230">
        <v>0</v>
      </c>
      <c r="D68" s="230"/>
      <c r="E68" s="231">
        <f>+C68</f>
        <v>0</v>
      </c>
      <c r="F68" s="221">
        <f>+E68/E70</f>
        <v>0</v>
      </c>
      <c r="G68" s="222">
        <f>+F68*F58</f>
        <v>0</v>
      </c>
      <c r="H68" s="223">
        <f t="shared" si="3"/>
        <v>0</v>
      </c>
    </row>
    <row r="69" spans="1:8">
      <c r="A69" s="228" t="s">
        <v>121</v>
      </c>
      <c r="B69" s="229">
        <v>408411</v>
      </c>
      <c r="C69" s="230">
        <v>175</v>
      </c>
      <c r="D69" s="230"/>
      <c r="E69" s="231">
        <f>+C69</f>
        <v>175</v>
      </c>
      <c r="F69" s="221">
        <f>+E69/E70</f>
        <v>0.31407035175879394</v>
      </c>
      <c r="G69" s="222">
        <f>+F69*F58</f>
        <v>3975.32506281407</v>
      </c>
      <c r="H69" s="223">
        <f t="shared" si="3"/>
        <v>4676.8530150753759</v>
      </c>
    </row>
    <row r="70" spans="1:8" ht="16.5" thickBot="1">
      <c r="A70" s="250" t="s">
        <v>135</v>
      </c>
      <c r="B70" s="251"/>
      <c r="C70" s="251"/>
      <c r="D70" s="252"/>
      <c r="E70" s="232">
        <f>SUM(E64:E69)</f>
        <v>557.20000000000005</v>
      </c>
      <c r="F70" s="233">
        <f>SUM(F64:F69)</f>
        <v>0.99999999999999989</v>
      </c>
      <c r="G70" s="234">
        <f>SUM(G64:G69)</f>
        <v>12657.434999999999</v>
      </c>
      <c r="H70" s="235">
        <f>SUM(H64:H69)</f>
        <v>14891.099999999999</v>
      </c>
    </row>
  </sheetData>
  <mergeCells count="8">
    <mergeCell ref="A44:G44"/>
    <mergeCell ref="A52:D52"/>
    <mergeCell ref="A62:G62"/>
    <mergeCell ref="A70:D70"/>
    <mergeCell ref="A10:G10"/>
    <mergeCell ref="A18:D18"/>
    <mergeCell ref="A27:G27"/>
    <mergeCell ref="A35:D35"/>
  </mergeCells>
  <pageMargins left="0.25" right="0.25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3"/>
  <sheetViews>
    <sheetView workbookViewId="0">
      <selection activeCell="N25" sqref="N25"/>
    </sheetView>
  </sheetViews>
  <sheetFormatPr baseColWidth="10" defaultRowHeight="15"/>
  <cols>
    <col min="3" max="3" width="13.85546875" customWidth="1"/>
    <col min="6" max="6" width="15.85546875" bestFit="1" customWidth="1"/>
    <col min="7" max="7" width="15.85546875" customWidth="1"/>
    <col min="8" max="8" width="14.85546875" customWidth="1"/>
    <col min="9" max="9" width="14.140625" customWidth="1"/>
    <col min="10" max="10" width="13" customWidth="1"/>
    <col min="11" max="11" width="28.5703125" bestFit="1" customWidth="1"/>
    <col min="12" max="12" width="13.5703125" bestFit="1" customWidth="1"/>
  </cols>
  <sheetData>
    <row r="2" spans="1:13" ht="18.75">
      <c r="A2" s="74" t="s">
        <v>63</v>
      </c>
      <c r="B2" s="74"/>
      <c r="C2" s="74"/>
      <c r="D2" s="74"/>
      <c r="E2" s="74"/>
      <c r="F2" s="74"/>
      <c r="G2" s="74"/>
      <c r="H2" s="74"/>
      <c r="I2" s="75"/>
      <c r="J2" s="75"/>
      <c r="K2" s="74"/>
      <c r="L2" s="74" t="s">
        <v>64</v>
      </c>
      <c r="M2" s="76"/>
    </row>
    <row r="3" spans="1:13" ht="15.75">
      <c r="A3" s="62" t="s">
        <v>65</v>
      </c>
      <c r="B3" s="62"/>
      <c r="C3" s="62"/>
      <c r="D3" s="62"/>
      <c r="E3" s="77" t="s">
        <v>66</v>
      </c>
      <c r="F3" s="78"/>
      <c r="G3" s="79" t="s">
        <v>67</v>
      </c>
      <c r="H3" s="80"/>
      <c r="I3" s="81"/>
      <c r="J3" s="81"/>
      <c r="K3" s="82" t="s">
        <v>68</v>
      </c>
      <c r="L3" s="83" t="s">
        <v>69</v>
      </c>
      <c r="M3" s="84"/>
    </row>
    <row r="4" spans="1:13" ht="15.75">
      <c r="A4" s="62" t="s">
        <v>70</v>
      </c>
      <c r="B4" s="62"/>
      <c r="C4" s="85"/>
      <c r="D4" s="62" t="s">
        <v>71</v>
      </c>
      <c r="E4" s="86" t="s">
        <v>72</v>
      </c>
      <c r="F4" s="87"/>
      <c r="G4" s="79" t="s">
        <v>73</v>
      </c>
      <c r="H4" s="80"/>
      <c r="I4" s="81"/>
      <c r="J4" s="81"/>
      <c r="K4" s="82"/>
      <c r="L4" s="88"/>
      <c r="M4" s="89" t="s">
        <v>74</v>
      </c>
    </row>
    <row r="5" spans="1:13" ht="15.75">
      <c r="A5" s="90"/>
      <c r="B5" s="90" t="s">
        <v>75</v>
      </c>
      <c r="C5" s="90"/>
      <c r="D5" s="90"/>
      <c r="E5" s="90"/>
      <c r="F5" s="90"/>
      <c r="G5" s="90"/>
      <c r="H5" s="90"/>
      <c r="I5" s="91"/>
      <c r="J5" s="91"/>
      <c r="K5" s="90"/>
      <c r="L5" s="90"/>
      <c r="M5" s="90"/>
    </row>
    <row r="6" spans="1:13" ht="15.75">
      <c r="A6" s="82" t="s">
        <v>46</v>
      </c>
      <c r="B6" s="82"/>
      <c r="C6" s="82" t="s">
        <v>76</v>
      </c>
      <c r="D6" s="85" t="s">
        <v>77</v>
      </c>
      <c r="E6" s="92"/>
      <c r="F6" s="92"/>
      <c r="G6" s="82" t="s">
        <v>78</v>
      </c>
      <c r="H6" s="82"/>
      <c r="I6" s="93"/>
      <c r="J6" s="93"/>
      <c r="K6" s="82"/>
      <c r="L6" s="82"/>
      <c r="M6" s="94"/>
    </row>
    <row r="7" spans="1:13" ht="15.75">
      <c r="A7" s="82"/>
      <c r="B7" s="82"/>
      <c r="C7" s="82" t="s">
        <v>79</v>
      </c>
      <c r="D7" s="82"/>
      <c r="E7" s="82"/>
      <c r="F7" s="82"/>
      <c r="G7" s="82"/>
      <c r="H7" s="82"/>
      <c r="I7" s="81"/>
      <c r="J7" s="81"/>
      <c r="K7" s="90"/>
      <c r="L7" s="82"/>
      <c r="M7" s="94"/>
    </row>
    <row r="8" spans="1:13" ht="15.75">
      <c r="A8" s="90"/>
      <c r="B8" s="90"/>
      <c r="C8" s="82" t="s">
        <v>80</v>
      </c>
      <c r="D8" s="90"/>
      <c r="E8" s="90"/>
      <c r="F8" s="90"/>
      <c r="G8" s="91" t="s">
        <v>81</v>
      </c>
      <c r="H8" s="95" t="s">
        <v>49</v>
      </c>
      <c r="I8" s="96"/>
      <c r="J8" s="90"/>
      <c r="K8" s="52"/>
      <c r="L8" s="90"/>
      <c r="M8" s="97"/>
    </row>
    <row r="9" spans="1:13" ht="16.5" thickBot="1">
      <c r="A9" s="90"/>
      <c r="B9" s="90"/>
      <c r="C9" s="90"/>
      <c r="D9" s="90"/>
      <c r="E9" s="90"/>
      <c r="F9" s="90"/>
      <c r="G9" s="90"/>
      <c r="H9" s="62"/>
      <c r="I9" s="91"/>
      <c r="J9" s="91"/>
      <c r="K9" s="52"/>
      <c r="L9" s="90"/>
      <c r="M9" s="97"/>
    </row>
    <row r="10" spans="1:13" ht="15.75" thickTop="1">
      <c r="A10" s="98" t="s">
        <v>82</v>
      </c>
      <c r="B10" s="99" t="s">
        <v>83</v>
      </c>
      <c r="C10" s="100"/>
      <c r="D10" s="100"/>
      <c r="E10" s="100"/>
      <c r="F10" s="101"/>
      <c r="G10" s="99" t="s">
        <v>84</v>
      </c>
      <c r="H10" s="101"/>
      <c r="I10" s="102" t="s">
        <v>85</v>
      </c>
      <c r="J10" s="103"/>
      <c r="K10" s="100" t="s">
        <v>86</v>
      </c>
      <c r="L10" s="104"/>
    </row>
    <row r="11" spans="1:13">
      <c r="A11" s="105" t="s">
        <v>69</v>
      </c>
      <c r="B11" s="106" t="s">
        <v>87</v>
      </c>
      <c r="C11" s="107"/>
      <c r="D11" s="107"/>
      <c r="E11" s="107"/>
      <c r="F11" s="108"/>
      <c r="G11" s="106" t="s">
        <v>88</v>
      </c>
      <c r="H11" s="108"/>
      <c r="I11" s="109" t="s">
        <v>89</v>
      </c>
      <c r="J11" s="110"/>
      <c r="K11" s="107" t="s">
        <v>90</v>
      </c>
      <c r="L11" s="111"/>
    </row>
    <row r="12" spans="1:13">
      <c r="A12" s="105" t="s">
        <v>91</v>
      </c>
      <c r="B12" s="112" t="s">
        <v>92</v>
      </c>
      <c r="C12" s="112" t="s">
        <v>93</v>
      </c>
      <c r="D12" s="112" t="s">
        <v>94</v>
      </c>
      <c r="E12" s="112" t="s">
        <v>95</v>
      </c>
      <c r="F12" s="112" t="s">
        <v>96</v>
      </c>
      <c r="G12" s="112" t="s">
        <v>97</v>
      </c>
      <c r="H12" s="113" t="s">
        <v>98</v>
      </c>
      <c r="I12" s="114" t="s">
        <v>99</v>
      </c>
      <c r="J12" s="114"/>
      <c r="K12" s="115" t="s">
        <v>100</v>
      </c>
      <c r="L12" s="116" t="s">
        <v>101</v>
      </c>
    </row>
    <row r="13" spans="1:13">
      <c r="A13" s="117" t="s">
        <v>102</v>
      </c>
      <c r="B13" s="118" t="s">
        <v>103</v>
      </c>
      <c r="C13" s="118"/>
      <c r="D13" s="118"/>
      <c r="E13" s="118"/>
      <c r="F13" s="118"/>
      <c r="G13" s="119"/>
      <c r="H13" s="119"/>
      <c r="I13" s="120" t="s">
        <v>104</v>
      </c>
      <c r="J13" s="121"/>
      <c r="K13" s="122"/>
      <c r="L13" s="123" t="s">
        <v>105</v>
      </c>
    </row>
    <row r="14" spans="1:13" ht="15.75">
      <c r="A14" s="124"/>
      <c r="B14" s="125">
        <v>309</v>
      </c>
      <c r="C14" s="126">
        <v>45488</v>
      </c>
      <c r="D14" s="127" t="s">
        <v>136</v>
      </c>
      <c r="E14" s="128"/>
      <c r="F14" s="128" t="s">
        <v>106</v>
      </c>
      <c r="G14" s="128" t="s">
        <v>107</v>
      </c>
      <c r="H14" s="127">
        <v>4805249000</v>
      </c>
      <c r="I14" s="129">
        <v>0.15</v>
      </c>
      <c r="J14" s="130" t="s">
        <v>108</v>
      </c>
      <c r="K14" s="131">
        <v>19335</v>
      </c>
      <c r="L14" s="132" t="s">
        <v>109</v>
      </c>
    </row>
    <row r="15" spans="1:13" ht="15.75">
      <c r="A15" s="133"/>
      <c r="B15" s="134"/>
      <c r="C15" s="135"/>
      <c r="D15" s="136"/>
      <c r="E15" s="137"/>
      <c r="F15" s="137"/>
      <c r="G15" s="137"/>
      <c r="H15" s="136"/>
      <c r="I15" s="138"/>
      <c r="J15" s="139" t="s">
        <v>110</v>
      </c>
      <c r="K15" s="140">
        <f>+K14*0.85</f>
        <v>16434.75</v>
      </c>
      <c r="L15" s="141"/>
    </row>
    <row r="16" spans="1:13" ht="15.75">
      <c r="A16" s="142"/>
      <c r="B16" s="143">
        <v>309</v>
      </c>
      <c r="C16" s="126">
        <v>45506</v>
      </c>
      <c r="D16" s="127" t="s">
        <v>137</v>
      </c>
      <c r="E16" s="128"/>
      <c r="F16" s="128" t="s">
        <v>106</v>
      </c>
      <c r="G16" s="128" t="s">
        <v>107</v>
      </c>
      <c r="H16" s="144">
        <v>4805249000</v>
      </c>
      <c r="I16" s="129">
        <v>0.15</v>
      </c>
      <c r="J16" s="130" t="s">
        <v>108</v>
      </c>
      <c r="K16" s="131">
        <v>22893</v>
      </c>
      <c r="L16" s="132" t="s">
        <v>109</v>
      </c>
    </row>
    <row r="17" spans="1:14" ht="15.75">
      <c r="A17" s="145"/>
      <c r="B17" s="134"/>
      <c r="C17" s="135"/>
      <c r="D17" s="136"/>
      <c r="E17" s="137"/>
      <c r="F17" s="137"/>
      <c r="G17" s="137"/>
      <c r="H17" s="136"/>
      <c r="I17" s="129"/>
      <c r="J17" s="130" t="s">
        <v>110</v>
      </c>
      <c r="K17" s="146">
        <f>+K16*0.85</f>
        <v>19459.05</v>
      </c>
      <c r="L17" s="147"/>
    </row>
    <row r="18" spans="1:14" ht="15.75">
      <c r="A18" s="148"/>
      <c r="B18" s="149">
        <v>309</v>
      </c>
      <c r="C18" s="150">
        <v>45677</v>
      </c>
      <c r="D18" s="151" t="s">
        <v>141</v>
      </c>
      <c r="E18" s="149"/>
      <c r="F18" s="149" t="s">
        <v>106</v>
      </c>
      <c r="G18" s="149" t="s">
        <v>107</v>
      </c>
      <c r="H18" s="151">
        <v>4804110000</v>
      </c>
      <c r="I18" s="152">
        <v>0.15</v>
      </c>
      <c r="J18" s="153" t="s">
        <v>108</v>
      </c>
      <c r="K18" s="154">
        <v>19335</v>
      </c>
      <c r="L18" s="155" t="s">
        <v>109</v>
      </c>
    </row>
    <row r="19" spans="1:14" ht="15.75">
      <c r="A19" s="156"/>
      <c r="B19" s="157"/>
      <c r="C19" s="158"/>
      <c r="D19" s="159"/>
      <c r="E19" s="157"/>
      <c r="F19" s="157"/>
      <c r="G19" s="157"/>
      <c r="H19" s="159"/>
      <c r="I19" s="160"/>
      <c r="J19" s="161" t="s">
        <v>110</v>
      </c>
      <c r="K19" s="162">
        <f>+K18*0.85</f>
        <v>16434.75</v>
      </c>
      <c r="L19" s="163"/>
    </row>
    <row r="20" spans="1:14" ht="15.75">
      <c r="A20" s="156"/>
      <c r="B20" s="164"/>
      <c r="C20" s="165"/>
      <c r="D20" s="166"/>
      <c r="E20" s="164"/>
      <c r="F20" s="164"/>
      <c r="G20" s="164"/>
      <c r="H20" s="166"/>
      <c r="I20" s="167"/>
      <c r="J20" s="168"/>
      <c r="K20" s="169"/>
      <c r="L20" s="170"/>
      <c r="M20" s="171"/>
    </row>
    <row r="21" spans="1:14" ht="16.5" thickBot="1">
      <c r="A21" s="172"/>
      <c r="B21" s="173"/>
      <c r="C21" s="174"/>
      <c r="D21" s="175"/>
      <c r="E21" s="173"/>
      <c r="F21" s="173"/>
      <c r="G21" s="173"/>
      <c r="H21" s="175"/>
      <c r="I21" s="176"/>
      <c r="J21" s="177"/>
      <c r="K21" s="178"/>
      <c r="L21" s="179"/>
      <c r="M21" s="171"/>
    </row>
    <row r="22" spans="1:14" ht="16.5" thickTop="1">
      <c r="B22" s="180"/>
      <c r="C22" s="180"/>
      <c r="D22" s="181"/>
      <c r="E22" s="181"/>
      <c r="F22" s="181"/>
      <c r="G22" s="182"/>
      <c r="H22" s="183"/>
      <c r="I22" s="41"/>
      <c r="J22" s="41"/>
      <c r="K22" s="184"/>
      <c r="L22" s="171"/>
      <c r="M22" s="171"/>
    </row>
    <row r="23" spans="1:14" ht="15.75">
      <c r="B23" s="180"/>
      <c r="C23" s="180"/>
      <c r="D23" s="181"/>
      <c r="E23" s="181"/>
      <c r="F23" s="181"/>
      <c r="G23" s="182"/>
      <c r="H23" s="183"/>
      <c r="I23" s="41"/>
      <c r="J23" s="41"/>
      <c r="K23" s="184"/>
      <c r="L23" s="185">
        <f>+K15+K17+K19</f>
        <v>52328.55</v>
      </c>
      <c r="M23" s="171"/>
    </row>
    <row r="24" spans="1:14" ht="15.75">
      <c r="A24" s="186"/>
      <c r="B24" s="187"/>
      <c r="C24" s="187"/>
      <c r="D24" s="188"/>
      <c r="E24" s="189"/>
      <c r="F24" s="188"/>
      <c r="G24" s="190"/>
      <c r="I24" s="41"/>
      <c r="J24" s="41"/>
      <c r="K24" s="52"/>
      <c r="L24" s="191"/>
      <c r="M24" s="171"/>
    </row>
    <row r="25" spans="1:14" ht="15.75">
      <c r="A25" s="192"/>
      <c r="B25" s="193"/>
      <c r="C25" s="193"/>
      <c r="D25" s="193"/>
      <c r="E25" s="193"/>
      <c r="F25" s="194"/>
      <c r="H25" s="195"/>
      <c r="I25" s="41"/>
      <c r="J25" s="41"/>
      <c r="K25" s="196" t="s">
        <v>111</v>
      </c>
      <c r="L25" s="197">
        <v>53397</v>
      </c>
      <c r="M25" s="171"/>
      <c r="N25" s="198">
        <f>+L25-L23</f>
        <v>1068.4499999999971</v>
      </c>
    </row>
    <row r="26" spans="1:14">
      <c r="A26" s="192"/>
      <c r="B26" s="193"/>
      <c r="C26" s="193"/>
      <c r="D26" s="193"/>
      <c r="E26" s="193"/>
      <c r="L26" s="199"/>
      <c r="N26" s="200">
        <f>+N25/L25</f>
        <v>2.0009551098376259E-2</v>
      </c>
    </row>
    <row r="27" spans="1:14" ht="15.75">
      <c r="A27" s="192"/>
      <c r="B27" s="201"/>
      <c r="C27" s="201"/>
      <c r="D27" s="201"/>
      <c r="E27" s="201"/>
      <c r="F27" s="198"/>
      <c r="K27" s="189"/>
      <c r="L27" s="202"/>
    </row>
    <row r="28" spans="1:14" ht="15.75">
      <c r="A28" s="192"/>
      <c r="D28" s="201"/>
      <c r="E28" s="201"/>
      <c r="K28" s="189"/>
      <c r="L28" s="202"/>
    </row>
    <row r="29" spans="1:14">
      <c r="A29" s="192"/>
      <c r="D29" s="201"/>
      <c r="E29" s="201"/>
      <c r="L29" s="200"/>
    </row>
    <row r="30" spans="1:14">
      <c r="A30" s="192"/>
      <c r="D30" s="201"/>
      <c r="E30" s="201"/>
      <c r="L30" s="198"/>
    </row>
    <row r="31" spans="1:14">
      <c r="A31" s="192"/>
      <c r="D31" s="201"/>
      <c r="E31" s="201"/>
    </row>
    <row r="32" spans="1:14">
      <c r="A32" s="192"/>
      <c r="D32" s="201"/>
      <c r="E32" s="201"/>
    </row>
    <row r="33" spans="2:5">
      <c r="B33" s="47"/>
      <c r="C33" s="47"/>
      <c r="D33" s="47"/>
      <c r="E33" s="47"/>
    </row>
  </sheetData>
  <pageMargins left="0.25" right="0.25" top="0.75" bottom="0.75" header="0.3" footer="0.3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69"/>
  <sheetViews>
    <sheetView tabSelected="1" topLeftCell="A19" workbookViewId="0">
      <selection activeCell="D38" sqref="D38"/>
    </sheetView>
  </sheetViews>
  <sheetFormatPr baseColWidth="10" defaultRowHeight="15"/>
  <cols>
    <col min="1" max="1" width="8" customWidth="1"/>
    <col min="3" max="3" width="25.7109375" customWidth="1"/>
    <col min="6" max="6" width="13" bestFit="1" customWidth="1"/>
    <col min="7" max="7" width="21.28515625" customWidth="1"/>
    <col min="8" max="8" width="21.7109375" customWidth="1"/>
  </cols>
  <sheetData>
    <row r="7" spans="1:8" ht="18">
      <c r="A7" s="51"/>
      <c r="G7" s="52" t="s">
        <v>138</v>
      </c>
      <c r="H7" s="53"/>
    </row>
    <row r="8" spans="1:8" ht="18">
      <c r="A8" s="51"/>
    </row>
    <row r="9" spans="1:8">
      <c r="A9" s="54"/>
    </row>
    <row r="10" spans="1:8" ht="15.75">
      <c r="A10" s="52"/>
      <c r="B10" s="52"/>
      <c r="C10" s="52"/>
      <c r="D10" s="52"/>
      <c r="E10" s="52"/>
      <c r="F10" s="52"/>
      <c r="G10" s="52"/>
      <c r="H10" s="52"/>
    </row>
    <row r="11" spans="1:8" ht="15.75">
      <c r="A11" s="52"/>
      <c r="B11" s="55"/>
      <c r="C11" s="55"/>
      <c r="D11" s="55"/>
      <c r="E11" s="55"/>
      <c r="F11" s="55"/>
      <c r="G11" s="55"/>
      <c r="H11" s="55"/>
    </row>
    <row r="12" spans="1:8" ht="15.75">
      <c r="A12" s="52"/>
      <c r="B12" s="55"/>
      <c r="C12" s="55"/>
      <c r="D12" s="55"/>
      <c r="E12" s="55"/>
      <c r="F12" s="55"/>
      <c r="G12" s="55"/>
      <c r="H12" s="55"/>
    </row>
    <row r="13" spans="1:8" ht="15.75">
      <c r="A13" s="52"/>
      <c r="B13" s="55"/>
      <c r="C13" s="55"/>
      <c r="D13" s="55"/>
      <c r="E13" s="55"/>
      <c r="F13" s="55" t="s">
        <v>41</v>
      </c>
      <c r="G13" s="55"/>
      <c r="H13" s="55"/>
    </row>
    <row r="14" spans="1:8" ht="15.75">
      <c r="A14" s="52"/>
      <c r="B14" s="55"/>
      <c r="C14" s="55"/>
      <c r="D14" s="55"/>
      <c r="E14" s="55"/>
      <c r="F14" s="55" t="s">
        <v>42</v>
      </c>
      <c r="G14" s="55"/>
      <c r="H14" s="55"/>
    </row>
    <row r="15" spans="1:8" ht="15.75">
      <c r="A15" s="52"/>
      <c r="B15" s="55"/>
      <c r="C15" s="55"/>
      <c r="D15" s="55"/>
      <c r="E15" s="55"/>
      <c r="F15" s="55"/>
      <c r="G15" s="55"/>
      <c r="H15" s="55"/>
    </row>
    <row r="16" spans="1:8" ht="15.75">
      <c r="A16" s="52"/>
      <c r="B16" s="55"/>
      <c r="C16" s="55"/>
      <c r="D16" s="55"/>
      <c r="E16" s="55"/>
      <c r="F16" s="55"/>
      <c r="G16" s="55"/>
      <c r="H16" s="55"/>
    </row>
    <row r="17" spans="1:8" ht="15.75">
      <c r="A17" s="52"/>
      <c r="B17" s="55"/>
      <c r="C17" s="55"/>
      <c r="D17" s="55"/>
      <c r="E17" s="55"/>
      <c r="F17" s="55"/>
      <c r="G17" s="55"/>
      <c r="H17" s="55"/>
    </row>
    <row r="18" spans="1:8" ht="15.75">
      <c r="A18" s="52"/>
      <c r="B18" s="55"/>
      <c r="C18" s="55"/>
      <c r="D18" s="55"/>
      <c r="E18" s="55"/>
      <c r="F18" s="55"/>
      <c r="G18" s="55"/>
      <c r="H18" s="55"/>
    </row>
    <row r="19" spans="1:8" ht="15.75">
      <c r="A19" s="56"/>
      <c r="B19" s="57" t="s">
        <v>43</v>
      </c>
      <c r="C19" s="55" t="s">
        <v>44</v>
      </c>
      <c r="D19" s="55"/>
      <c r="E19" s="55"/>
      <c r="F19" s="55"/>
      <c r="G19" s="55"/>
      <c r="H19" s="55"/>
    </row>
    <row r="20" spans="1:8" ht="15.75">
      <c r="A20" s="52" t="s">
        <v>45</v>
      </c>
      <c r="B20" s="55"/>
      <c r="C20" s="55"/>
      <c r="D20" s="55"/>
      <c r="E20" s="55"/>
      <c r="F20" s="55"/>
      <c r="G20" s="55"/>
      <c r="H20" s="55"/>
    </row>
    <row r="21" spans="1:8" ht="15.75">
      <c r="A21" s="52"/>
      <c r="B21" s="55"/>
      <c r="C21" s="55"/>
      <c r="D21" s="55"/>
      <c r="E21" s="55"/>
      <c r="F21" s="55"/>
      <c r="G21" s="55"/>
      <c r="H21" s="55"/>
    </row>
    <row r="22" spans="1:8" ht="15.75">
      <c r="A22" s="52" t="s">
        <v>46</v>
      </c>
      <c r="B22" s="55"/>
      <c r="C22" s="55"/>
      <c r="D22" s="55"/>
      <c r="E22" s="55"/>
      <c r="F22" s="55"/>
      <c r="G22" s="55"/>
      <c r="H22" s="55"/>
    </row>
    <row r="23" spans="1:8" ht="15.75">
      <c r="A23" s="52"/>
      <c r="B23" s="58" t="s">
        <v>47</v>
      </c>
      <c r="C23" s="55"/>
      <c r="D23" s="55"/>
      <c r="E23" s="55"/>
      <c r="F23" s="55"/>
      <c r="G23" s="55"/>
      <c r="H23" s="55"/>
    </row>
    <row r="24" spans="1:8" ht="15.75">
      <c r="A24" s="52"/>
      <c r="B24" s="58"/>
      <c r="C24" s="55"/>
      <c r="D24" s="55"/>
      <c r="E24" s="55"/>
      <c r="F24" s="55"/>
      <c r="G24" s="55"/>
      <c r="H24" s="55"/>
    </row>
    <row r="25" spans="1:8" ht="15.75">
      <c r="A25" s="52"/>
      <c r="B25" s="55"/>
      <c r="C25" s="59" t="s">
        <v>48</v>
      </c>
      <c r="D25" s="55" t="s">
        <v>49</v>
      </c>
      <c r="E25" s="55"/>
      <c r="F25" s="55"/>
      <c r="G25" s="55"/>
      <c r="H25" s="55"/>
    </row>
    <row r="26" spans="1:8" ht="15.75">
      <c r="A26" s="52"/>
      <c r="B26" s="55"/>
      <c r="C26" s="59" t="s">
        <v>50</v>
      </c>
      <c r="D26" s="55" t="s">
        <v>51</v>
      </c>
      <c r="E26" s="55"/>
      <c r="F26" s="55"/>
      <c r="G26" s="55"/>
      <c r="H26" s="55"/>
    </row>
    <row r="27" spans="1:8" ht="15.75">
      <c r="A27" s="52"/>
      <c r="B27" s="55"/>
      <c r="C27" s="59"/>
      <c r="D27" s="55"/>
      <c r="E27" s="55"/>
      <c r="F27" s="55"/>
      <c r="G27" s="55"/>
      <c r="H27" s="55"/>
    </row>
    <row r="28" spans="1:8" ht="15.75">
      <c r="A28" s="52"/>
      <c r="B28" s="55"/>
      <c r="C28" s="59"/>
      <c r="D28" s="55"/>
      <c r="E28" s="55"/>
      <c r="F28" s="55"/>
      <c r="G28" s="55"/>
      <c r="H28" s="55"/>
    </row>
    <row r="29" spans="1:8" ht="15.75">
      <c r="A29" s="52"/>
      <c r="B29" s="58"/>
      <c r="C29" s="55"/>
      <c r="D29" s="55"/>
      <c r="E29" s="55"/>
      <c r="F29" s="55"/>
      <c r="G29" s="55"/>
      <c r="H29" s="55"/>
    </row>
    <row r="30" spans="1:8" ht="15.75">
      <c r="A30" s="52"/>
      <c r="B30" s="58"/>
      <c r="C30" s="55"/>
      <c r="D30" s="55"/>
      <c r="E30" s="55"/>
      <c r="F30" s="55"/>
      <c r="G30" s="55"/>
      <c r="H30" s="55"/>
    </row>
    <row r="31" spans="1:8" ht="15.75">
      <c r="A31" s="52"/>
      <c r="B31" s="58" t="s">
        <v>52</v>
      </c>
      <c r="C31" s="55"/>
      <c r="D31" s="55"/>
      <c r="E31" s="55"/>
      <c r="F31" s="55"/>
      <c r="G31" s="55"/>
      <c r="H31" s="55"/>
    </row>
    <row r="32" spans="1:8" ht="15.75">
      <c r="A32" s="52"/>
      <c r="B32" s="58" t="s">
        <v>53</v>
      </c>
      <c r="C32" s="55"/>
      <c r="D32" s="55"/>
      <c r="E32" s="55"/>
      <c r="F32" s="55"/>
      <c r="G32" s="55"/>
      <c r="H32" s="55"/>
    </row>
    <row r="33" spans="1:8" ht="15.75">
      <c r="A33" s="52"/>
      <c r="B33" s="58"/>
      <c r="C33" s="55"/>
      <c r="D33" s="58"/>
      <c r="E33" s="58"/>
      <c r="F33" s="58"/>
      <c r="G33" s="58"/>
      <c r="H33" s="55"/>
    </row>
    <row r="34" spans="1:8" ht="15.75">
      <c r="A34" s="52"/>
      <c r="B34" s="55"/>
      <c r="C34" s="55"/>
      <c r="D34" s="58"/>
      <c r="E34" s="58"/>
      <c r="F34" s="58"/>
      <c r="G34" s="55"/>
      <c r="H34" s="55"/>
    </row>
    <row r="35" spans="1:8" ht="15.75">
      <c r="A35" s="52"/>
      <c r="B35" s="55"/>
      <c r="C35" s="55"/>
      <c r="D35" s="55"/>
      <c r="E35" s="55"/>
      <c r="F35" s="60"/>
      <c r="G35" s="55"/>
      <c r="H35" s="55"/>
    </row>
    <row r="36" spans="1:8" ht="15.75">
      <c r="A36" s="52"/>
      <c r="B36" s="55"/>
      <c r="C36" s="55" t="s">
        <v>54</v>
      </c>
      <c r="D36" s="55" t="s">
        <v>139</v>
      </c>
      <c r="E36" s="55"/>
      <c r="F36" s="55"/>
      <c r="G36" s="55"/>
      <c r="H36" s="55"/>
    </row>
    <row r="37" spans="1:8" ht="15.75">
      <c r="A37" s="52"/>
      <c r="B37" s="55"/>
      <c r="C37" s="55" t="s">
        <v>54</v>
      </c>
      <c r="D37" s="55" t="s">
        <v>140</v>
      </c>
      <c r="E37" s="55"/>
      <c r="F37" s="60"/>
      <c r="G37" s="55"/>
      <c r="H37" s="55"/>
    </row>
    <row r="38" spans="1:8" ht="15.75">
      <c r="A38" s="52"/>
      <c r="B38" s="55"/>
      <c r="C38" s="55" t="s">
        <v>54</v>
      </c>
      <c r="D38" s="55" t="s">
        <v>55</v>
      </c>
      <c r="E38" s="55"/>
      <c r="F38" s="60"/>
      <c r="G38" s="55"/>
      <c r="H38" s="55"/>
    </row>
    <row r="39" spans="1:8" ht="15.75">
      <c r="A39" s="52" t="s">
        <v>46</v>
      </c>
      <c r="B39" s="55"/>
      <c r="C39" s="61"/>
      <c r="D39" s="61"/>
      <c r="E39" s="55"/>
      <c r="F39" s="55"/>
      <c r="G39" s="55"/>
      <c r="H39" s="55"/>
    </row>
    <row r="40" spans="1:8" ht="15.75">
      <c r="A40" s="52"/>
      <c r="B40" s="55"/>
      <c r="C40" s="55"/>
      <c r="D40" s="55"/>
      <c r="E40" s="55"/>
      <c r="F40" s="55"/>
      <c r="G40" s="55"/>
      <c r="H40" s="55"/>
    </row>
    <row r="41" spans="1:8" ht="15.75">
      <c r="A41" s="52"/>
      <c r="B41" s="58" t="s">
        <v>56</v>
      </c>
      <c r="C41" s="55"/>
      <c r="D41" s="55"/>
      <c r="E41" s="55"/>
      <c r="F41" s="55"/>
      <c r="G41" s="55"/>
      <c r="H41" s="55"/>
    </row>
    <row r="42" spans="1:8" ht="15.75">
      <c r="A42" s="52"/>
      <c r="B42" s="52"/>
      <c r="C42" s="52"/>
      <c r="D42" s="52"/>
      <c r="E42" s="52"/>
      <c r="F42" s="52"/>
      <c r="G42" s="52"/>
      <c r="H42" s="62"/>
    </row>
    <row r="43" spans="1:8" ht="15.75">
      <c r="A43" s="52"/>
      <c r="B43" s="63"/>
      <c r="C43" s="62"/>
      <c r="D43" s="52"/>
      <c r="E43" s="52"/>
      <c r="F43" s="52"/>
      <c r="G43" s="52"/>
      <c r="H43" s="62"/>
    </row>
    <row r="44" spans="1:8" ht="15.75">
      <c r="A44" s="52"/>
      <c r="B44" s="63"/>
      <c r="C44" s="62"/>
      <c r="D44" s="52"/>
      <c r="E44" s="52"/>
      <c r="F44" s="52"/>
      <c r="G44" s="52"/>
      <c r="H44" s="62"/>
    </row>
    <row r="45" spans="1:8" ht="15.75">
      <c r="A45" s="52"/>
      <c r="B45" s="63"/>
      <c r="C45" s="62"/>
      <c r="D45" s="52"/>
      <c r="E45" s="52"/>
      <c r="F45" s="52"/>
      <c r="G45" s="52"/>
      <c r="H45" s="62"/>
    </row>
    <row r="46" spans="1:8" ht="15.75">
      <c r="A46" s="52"/>
      <c r="B46" s="63"/>
      <c r="C46" s="52"/>
      <c r="D46" s="52"/>
      <c r="E46" s="52"/>
      <c r="F46" s="52"/>
      <c r="G46" s="52"/>
      <c r="H46" s="52"/>
    </row>
    <row r="47" spans="1:8" ht="15.75">
      <c r="A47" s="52"/>
      <c r="B47" s="52"/>
      <c r="C47" s="52"/>
      <c r="D47" s="52"/>
      <c r="E47" s="52"/>
      <c r="F47" s="52"/>
      <c r="G47" s="52"/>
      <c r="H47" s="52"/>
    </row>
    <row r="48" spans="1:8" ht="15.75">
      <c r="A48" s="52"/>
      <c r="B48" s="52"/>
      <c r="C48" s="52"/>
      <c r="D48" s="52"/>
      <c r="E48" s="52"/>
      <c r="F48" s="52"/>
      <c r="G48" s="52"/>
      <c r="H48" s="52"/>
    </row>
    <row r="49" spans="1:8" ht="15.75">
      <c r="A49" s="52"/>
      <c r="B49" s="52"/>
      <c r="C49" s="52"/>
      <c r="D49" s="52"/>
      <c r="E49" s="52"/>
      <c r="F49" s="52"/>
      <c r="G49" s="52"/>
      <c r="H49" s="52"/>
    </row>
    <row r="50" spans="1:8" ht="15.75">
      <c r="A50" s="52"/>
      <c r="B50" s="52"/>
      <c r="C50" s="52"/>
      <c r="D50" s="52"/>
      <c r="E50" s="52"/>
      <c r="F50" s="52"/>
      <c r="G50" s="52"/>
      <c r="H50" s="52"/>
    </row>
    <row r="51" spans="1:8" ht="15.75">
      <c r="A51" s="52"/>
      <c r="B51" s="52"/>
      <c r="C51" s="52"/>
      <c r="D51" s="52"/>
      <c r="E51" s="52"/>
      <c r="F51" s="52"/>
      <c r="G51" s="52"/>
      <c r="H51" s="52"/>
    </row>
    <row r="52" spans="1:8" ht="16.5" thickBot="1">
      <c r="A52" s="52"/>
      <c r="B52" s="52"/>
      <c r="C52" s="52"/>
      <c r="D52" s="52"/>
      <c r="E52" s="52"/>
      <c r="F52" s="52"/>
      <c r="G52" s="52"/>
      <c r="H52" s="52"/>
    </row>
    <row r="53" spans="1:8" ht="16.5">
      <c r="A53" s="64" t="s">
        <v>57</v>
      </c>
      <c r="B53" s="65"/>
      <c r="C53" s="66"/>
      <c r="D53" s="66"/>
      <c r="E53" s="67"/>
      <c r="F53" s="67"/>
      <c r="G53" s="67"/>
      <c r="H53" s="68"/>
    </row>
    <row r="54" spans="1:8" ht="16.5">
      <c r="A54" s="69" t="s">
        <v>58</v>
      </c>
      <c r="E54" s="70"/>
      <c r="F54" s="70"/>
      <c r="G54" s="70"/>
      <c r="H54" s="71"/>
    </row>
    <row r="55" spans="1:8" ht="16.5">
      <c r="A55" s="72" t="s">
        <v>59</v>
      </c>
      <c r="E55" s="70"/>
      <c r="F55" s="70"/>
      <c r="G55" s="70"/>
      <c r="H55" s="71"/>
    </row>
    <row r="56" spans="1:8" ht="16.5">
      <c r="A56" s="72" t="s">
        <v>60</v>
      </c>
      <c r="E56" s="70"/>
      <c r="F56" s="70"/>
      <c r="G56" s="70"/>
      <c r="H56" s="71"/>
    </row>
    <row r="57" spans="1:8" ht="16.5">
      <c r="A57" s="73" t="s">
        <v>61</v>
      </c>
      <c r="E57" s="70"/>
      <c r="F57" s="70"/>
      <c r="G57" s="70"/>
      <c r="H57" s="71"/>
    </row>
    <row r="58" spans="1:8" ht="16.5">
      <c r="A58" s="73" t="s">
        <v>62</v>
      </c>
      <c r="E58" s="70"/>
      <c r="F58" s="70"/>
      <c r="G58" s="70"/>
      <c r="H58" s="71"/>
    </row>
    <row r="59" spans="1:8" ht="16.5">
      <c r="A59" s="52"/>
      <c r="B59" s="71"/>
      <c r="C59" s="52"/>
      <c r="D59" s="52"/>
      <c r="E59" s="52"/>
      <c r="F59" s="52"/>
      <c r="G59" s="52"/>
      <c r="H59" s="52"/>
    </row>
    <row r="60" spans="1:8" ht="16.5">
      <c r="A60" s="52"/>
      <c r="B60" s="71"/>
      <c r="C60" s="52"/>
      <c r="D60" s="52"/>
      <c r="E60" s="52"/>
      <c r="F60" s="52"/>
      <c r="G60" s="52"/>
      <c r="H60" s="52"/>
    </row>
    <row r="61" spans="1:8" ht="15.75">
      <c r="A61" s="52"/>
      <c r="B61" s="52"/>
      <c r="C61" s="52"/>
      <c r="D61" s="52"/>
      <c r="E61" s="52"/>
      <c r="F61" s="52"/>
      <c r="G61" s="52"/>
      <c r="H61" s="52"/>
    </row>
    <row r="62" spans="1:8" ht="15.75">
      <c r="A62" s="52"/>
      <c r="B62" s="52"/>
      <c r="C62" s="52"/>
      <c r="D62" s="52"/>
      <c r="E62" s="52"/>
      <c r="F62" s="52"/>
      <c r="G62" s="52"/>
      <c r="H62" s="52"/>
    </row>
    <row r="63" spans="1:8" ht="15.75">
      <c r="A63" s="52"/>
      <c r="B63" s="52"/>
      <c r="C63" s="52"/>
      <c r="D63" s="52"/>
      <c r="E63" s="52"/>
      <c r="F63" s="52"/>
      <c r="G63" s="52"/>
      <c r="H63" s="52"/>
    </row>
    <row r="64" spans="1:8" ht="15.75">
      <c r="A64" s="52"/>
      <c r="B64" s="52"/>
      <c r="C64" s="52"/>
      <c r="D64" s="52"/>
      <c r="E64" s="52"/>
      <c r="F64" s="52"/>
      <c r="G64" s="52"/>
      <c r="H64" s="52"/>
    </row>
    <row r="65" spans="1:8" ht="15.75">
      <c r="A65" s="52"/>
      <c r="B65" s="52"/>
      <c r="C65" s="52"/>
      <c r="D65" s="52"/>
      <c r="E65" s="52"/>
      <c r="F65" s="52"/>
      <c r="G65" s="52"/>
      <c r="H65" s="52"/>
    </row>
    <row r="66" spans="1:8" ht="15.75">
      <c r="A66" s="52"/>
      <c r="B66" s="52"/>
      <c r="C66" s="52"/>
      <c r="D66" s="52"/>
      <c r="E66" s="52"/>
      <c r="F66" s="52"/>
      <c r="G66" s="52"/>
      <c r="H66" s="52"/>
    </row>
    <row r="67" spans="1:8" ht="15.75">
      <c r="A67" s="52"/>
      <c r="B67" s="52"/>
      <c r="C67" s="52"/>
      <c r="D67" s="52"/>
      <c r="E67" s="52"/>
      <c r="F67" s="52"/>
      <c r="G67" s="52"/>
      <c r="H67" s="52"/>
    </row>
    <row r="68" spans="1:8" ht="15.75">
      <c r="B68" s="52"/>
    </row>
    <row r="69" spans="1:8" ht="15.75">
      <c r="B69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FACTURE</vt:lpstr>
      <vt:lpstr>CALCUL</vt:lpstr>
      <vt:lpstr>FICHE</vt:lpstr>
      <vt:lpstr>ATT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Houda HINNI</dc:creator>
  <cp:lastModifiedBy>Houda HINNI</cp:lastModifiedBy>
  <cp:lastPrinted>2025-07-11T15:17:46Z</cp:lastPrinted>
  <dcterms:created xsi:type="dcterms:W3CDTF">2024-12-19T10:20:11Z</dcterms:created>
  <dcterms:modified xsi:type="dcterms:W3CDTF">2025-07-18T13:55:35Z</dcterms:modified>
</cp:coreProperties>
</file>