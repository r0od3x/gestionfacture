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excelfiles\"/>
    </mc:Choice>
  </mc:AlternateContent>
  <xr:revisionPtr revIDLastSave="0" documentId="13_ncr:1_{657BDB04-918A-4AE2-9CC0-2E7404193A3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CTURE" sheetId="1" r:id="rId1"/>
    <sheet name="CALCUL" sheetId="2" r:id="rId2"/>
    <sheet name="FICHE" sheetId="3" r:id="rId3"/>
    <sheet name="A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G57" i="2" s="1"/>
  <c r="F58" i="2" s="1"/>
  <c r="E69" i="2"/>
  <c r="E68" i="2"/>
  <c r="E67" i="2"/>
  <c r="E66" i="2"/>
  <c r="E65" i="2"/>
  <c r="E64" i="2"/>
  <c r="F39" i="2"/>
  <c r="F22" i="2"/>
  <c r="F56" i="2" l="1"/>
  <c r="E70" i="2"/>
  <c r="F65" i="2" s="1"/>
  <c r="G65" i="2" s="1"/>
  <c r="H65" i="2" s="1"/>
  <c r="F69" i="2" l="1"/>
  <c r="G69" i="2" s="1"/>
  <c r="H69" i="2" s="1"/>
  <c r="F68" i="2"/>
  <c r="G68" i="2" s="1"/>
  <c r="H68" i="2" s="1"/>
  <c r="F67" i="2"/>
  <c r="G67" i="2" s="1"/>
  <c r="H67" i="2" s="1"/>
  <c r="F66" i="2"/>
  <c r="G66" i="2" s="1"/>
  <c r="H66" i="2" s="1"/>
  <c r="F64" i="2"/>
  <c r="G64" i="2" s="1"/>
  <c r="F70" i="2"/>
  <c r="H64" i="2" l="1"/>
  <c r="H70" i="2" s="1"/>
  <c r="G70" i="2"/>
  <c r="E51" i="2" l="1"/>
  <c r="E50" i="2"/>
  <c r="E49" i="2"/>
  <c r="E48" i="2"/>
  <c r="E47" i="2"/>
  <c r="E46" i="2"/>
  <c r="G39" i="2"/>
  <c r="F40" i="2" s="1"/>
  <c r="F38" i="2"/>
  <c r="E34" i="2"/>
  <c r="E33" i="2"/>
  <c r="E32" i="2"/>
  <c r="E31" i="2"/>
  <c r="E30" i="2"/>
  <c r="E29" i="2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L2" i="2" s="1"/>
  <c r="K19" i="3"/>
  <c r="E52" i="2" l="1"/>
  <c r="F49" i="2" s="1"/>
  <c r="G49" i="2" s="1"/>
  <c r="H49" i="2" s="1"/>
  <c r="E35" i="2"/>
  <c r="L23" i="3"/>
  <c r="N25" i="3" s="1"/>
  <c r="N26" i="3" s="1"/>
  <c r="F30" i="2"/>
  <c r="G30" i="2" s="1"/>
  <c r="H30" i="2" s="1"/>
  <c r="F14" i="2"/>
  <c r="G14" i="2" s="1"/>
  <c r="H14" i="2" s="1"/>
  <c r="F31" i="2"/>
  <c r="G31" i="2" s="1"/>
  <c r="H31" i="2" s="1"/>
  <c r="F32" i="2"/>
  <c r="G32" i="2" s="1"/>
  <c r="H32" i="2" s="1"/>
  <c r="F33" i="2"/>
  <c r="G33" i="2" s="1"/>
  <c r="H33" i="2" s="1"/>
  <c r="F17" i="2"/>
  <c r="G17" i="2" s="1"/>
  <c r="H17" i="2" s="1"/>
  <c r="F34" i="2"/>
  <c r="G34" i="2" s="1"/>
  <c r="H34" i="2" s="1"/>
  <c r="F29" i="2"/>
  <c r="F46" i="2"/>
  <c r="E18" i="2"/>
  <c r="F12" i="2" s="1"/>
  <c r="F48" i="2" l="1"/>
  <c r="G48" i="2" s="1"/>
  <c r="H48" i="2" s="1"/>
  <c r="F51" i="2"/>
  <c r="G51" i="2" s="1"/>
  <c r="H51" i="2" s="1"/>
  <c r="L5" i="2"/>
  <c r="F47" i="2"/>
  <c r="G47" i="2" s="1"/>
  <c r="H47" i="2" s="1"/>
  <c r="F50" i="2"/>
  <c r="G50" i="2" s="1"/>
  <c r="H50" i="2" s="1"/>
  <c r="F16" i="2"/>
  <c r="G16" i="2" s="1"/>
  <c r="H16" i="2" s="1"/>
  <c r="F15" i="2"/>
  <c r="G15" i="2" s="1"/>
  <c r="H15" i="2" s="1"/>
  <c r="L4" i="2" s="1"/>
  <c r="F13" i="2"/>
  <c r="G13" i="2" s="1"/>
  <c r="H13" i="2" s="1"/>
  <c r="L3" i="2" s="1"/>
  <c r="L6" i="2" s="1"/>
  <c r="G12" i="2"/>
  <c r="F35" i="2"/>
  <c r="G29" i="2"/>
  <c r="G46" i="2"/>
  <c r="F52" i="2"/>
  <c r="F18" i="2" l="1"/>
  <c r="H29" i="2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<sst xmlns="http://schemas.openxmlformats.org/spreadsheetml/2006/main" count="298" uniqueCount="196">
  <si>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</si>
  <si>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</si>
  <si>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</si>
  <si>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</si>
  <si>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</si>
  <si>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</si>
  <si>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</si>
  <si>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</si>
  <si>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</si>
  <si>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</si>
  <si>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</si>
  <si>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</si>
  <si>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</si>
  <si>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</si>
  <si>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</si>
  <si>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</si>
  <si>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</si>
  <si>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</si>
  <si>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</si>
  <si>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</si>
  <si>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</si>
  <si>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</si>
  <si>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</si>
  <si>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</si>
  <si>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</si>
  <si>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</si>
  <si>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</si>
  <si>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</si>
  <si>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</si>
  <si>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</si>
  <si>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</si>
  <si>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</si>
  <si>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</si>
  <si>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</si>
  <si>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</si>
  <si>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</si>
  <si>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</si>
  <si>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</si>
  <si>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</si>
  <si>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</si>
  <si>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</si>
  <si>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</si>
  <si>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</si>
  <si>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</si>
  <si>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</si>
  <si>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</si>
  <si>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</si>
  <si>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</si>
  <si>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</si>
  <si>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PESBAK ET BENJELLOUN</t>
  </si>
  <si>
    <t>Quantité   :</t>
  </si>
  <si>
    <t>200.000 CAISSES EN CARTON</t>
  </si>
  <si>
    <t>A cet effet, nous autorisons la dite société à apurer nos comptes d'AT conformément</t>
  </si>
  <si>
    <t>aux quantités mentionnées sur les fiches d'imputation ci-jointes,</t>
  </si>
  <si>
    <t>AT :</t>
  </si>
  <si>
    <t>309 22 001813 DU 30/05/2024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</si>
  <si>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</si>
  <si>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</si>
  <si>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</si>
  <si>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</si>
  <si>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</si>
  <si>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</si>
  <si>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</si>
  <si>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</si>
  <si>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</si>
  <si>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</si>
  <si>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</si>
  <si>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</si>
  <si>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</si>
  <si>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</si>
  <si>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</si>
  <si>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</si>
  <si>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</si>
  <si>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</si>
  <si>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</si>
  <si>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</si>
  <si>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</si>
  <si>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</si>
  <si>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</si>
  <si>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</si>
  <si>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</si>
  <si>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</si>
  <si>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</si>
  <si>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</si>
  <si>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</si>
  <si>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</si>
  <si>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</si>
  <si>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</si>
  <si>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</si>
  <si>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</si>
  <si>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</si>
  <si>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</si>
  <si>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</si>
  <si>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</si>
  <si>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</si>
  <si>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</si>
  <si>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</si>
  <si>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</si>
  <si>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</si>
  <si>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</si>
  <si>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</si>
  <si>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</si>
  <si>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</si>
  <si>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</si>
  <si>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</si>
  <si>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</si>
  <si>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</si>
  <si>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</si>
  <si>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</si>
  <si>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</si>
  <si>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</si>
  <si>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</si>
  <si>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</si>
  <si>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</si>
  <si>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</si>
  <si>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</si>
  <si>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</si>
  <si>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</si>
  <si>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</si>
  <si>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</si>
  <si>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</si>
  <si>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</si>
  <si>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</si>
  <si>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</si>
  <si>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</si>
  <si>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</si>
  <si>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</si>
  <si>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</si>
  <si>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</si>
  <si>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</si>
  <si>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</si>
  <si>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</si>
  <si>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MOHAMMEDIA LE, 03/07/2025</t>
  </si>
  <si>
    <t>309 22 002479 DU 15/07/2024</t>
  </si>
  <si>
    <t>309 22 002737 DU 02/08/2024</t>
  </si>
  <si>
    <t>Updated value for H8</t>
  </si>
  <si>
    <t>R14CA</t>
  </si>
  <si>
    <t>R14CB</t>
  </si>
  <si>
    <t>R14CC</t>
  </si>
  <si>
    <t>R14CD</t>
  </si>
  <si>
    <t>R14CE</t>
  </si>
  <si>
    <t>R14CF</t>
  </si>
  <si>
    <t>R14CG</t>
  </si>
  <si>
    <t>R14CH</t>
  </si>
  <si>
    <t>R14CI</t>
  </si>
  <si>
    <t>R14CJ</t>
  </si>
  <si>
    <t>R14CK</t>
  </si>
  <si>
    <t>R14CL</t>
  </si>
  <si>
    <t>R15CA</t>
  </si>
  <si>
    <t>R15CB</t>
  </si>
  <si>
    <t>R15CC</t>
  </si>
  <si>
    <t>R15CD</t>
  </si>
  <si>
    <t>R15CE</t>
  </si>
  <si>
    <t>R15CF</t>
  </si>
  <si>
    <t>R15CG</t>
  </si>
  <si>
    <t>R15CH</t>
  </si>
  <si>
    <t>R15CI</t>
  </si>
  <si>
    <t>R15CJ</t>
  </si>
  <si>
    <t>R15CK</t>
  </si>
  <si>
    <t>R15CL</t>
  </si>
  <si>
    <t>R16CA</t>
  </si>
  <si>
    <t>R16CB</t>
  </si>
  <si>
    <t>R16CC</t>
  </si>
  <si>
    <t>R16CD</t>
  </si>
  <si>
    <t>R16CE</t>
  </si>
  <si>
    <t>R16CF</t>
  </si>
  <si>
    <t>R16CG</t>
  </si>
  <si>
    <t>R16CH</t>
  </si>
  <si>
    <t>R16CI</t>
  </si>
  <si>
    <t>R16CJ</t>
  </si>
  <si>
    <t>R16CK</t>
  </si>
  <si>
    <t>R16CL</t>
  </si>
  <si>
    <t>R17CA</t>
  </si>
  <si>
    <t>R17CB</t>
  </si>
  <si>
    <t>R17CC</t>
  </si>
  <si>
    <t>R17CD</t>
  </si>
  <si>
    <t>R17CE</t>
  </si>
  <si>
    <t>R17CF</t>
  </si>
  <si>
    <t>R17CG</t>
  </si>
  <si>
    <t>R17CH</t>
  </si>
  <si>
    <t>R17CI</t>
  </si>
  <si>
    <t>R17CJ</t>
  </si>
  <si>
    <t>R17CK</t>
  </si>
  <si>
    <t>R17CL</t>
  </si>
  <si>
    <t>R18CA</t>
  </si>
  <si>
    <t>R18CB</t>
  </si>
  <si>
    <t>R18CC</t>
  </si>
  <si>
    <t>R18CD</t>
  </si>
  <si>
    <t>R18CE</t>
  </si>
  <si>
    <t>R18CF</t>
  </si>
  <si>
    <t>R18CG</t>
  </si>
  <si>
    <t>R18CH</t>
  </si>
  <si>
    <t>R18CI</t>
  </si>
  <si>
    <t>R18CJ</t>
  </si>
  <si>
    <t>R18CK</t>
  </si>
  <si>
    <t>R18CL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</si>
</sst>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D_H_-;\-* #,##0.00\ _D_H_-;_-* &quot;-&quot;??\ _D_H_-;_-@_-"/>
    <numFmt numFmtId="165" formatCode="#,##0.000\ [$EUR]"/>
    <numFmt numFmtId="166" formatCode="dd/mm/yy_)"/>
    <numFmt numFmtId="167" formatCode="#,##0.0000"/>
    <numFmt numFmtId="168" formatCode="0.0%"/>
    <numFmt numFmtId="169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5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6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6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6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6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6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6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7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7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164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8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8" fontId="45" fillId="18" borderId="86" xfId="3" applyNumberFormat="1" applyFont="1" applyFill="1" applyBorder="1" applyAlignment="1">
      <alignment horizontal="center"/>
    </xf>
    <xf numFmtId="169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41</xdr:row>
      <xdr:rowOff>85725</xdr:rowOff>
    </xdr:from>
    <xdr:to>
      <xdr:col>7</xdr:col>
      <xdr:colOff>781050</xdr:colOff>
      <xdr:row>50</xdr:row>
      <xdr:rowOff>171450</xdr:rowOff>
    </xdr:to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workbookViewId="0">
      <selection activeCell="C29" sqref="C29"/>
    </sheetView>
  </sheetViews>
  <sheetFormatPr defaultColWidth="11.5546875" defaultRowHeight="14.4"/>
  <cols>
    <col min="1" max="1" width="15" bestFit="1" customWidth="1"/>
    <col min="2" max="2" width="28.5546875" customWidth="1"/>
    <col min="3" max="3" width="29" customWidth="1"/>
    <col min="4" max="4" width="10.44140625" customWidth="1"/>
    <col min="5" max="5" width="25.664062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">
      <c r="A7" s="24"/>
      <c r="B7" s="24"/>
      <c r="C7" s="37" t="s">
        <v>26</v>
      </c>
      <c r="D7" s="36" t="s">
        <v>33</v>
      </c>
      <c r="E7" s="35"/>
    </row>
    <row r="8" spans="1:5" ht="15.6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3.8">
      <c r="A32" s="246" t="s">
        <v>40</v>
      </c>
      <c r="B32" s="246"/>
      <c r="C32" s="246"/>
      <c r="D32" s="246"/>
      <c r="E32" s="246"/>
    </row>
    <row r="33" spans="1:6" s="48" customFormat="1" ht="13.8">
      <c r="A33" s="236" t="s">
        <v>11</v>
      </c>
      <c r="B33" s="236"/>
      <c r="C33" s="236"/>
      <c r="D33" s="236"/>
      <c r="E33" s="236"/>
    </row>
    <row r="34" spans="1:6" s="48" customFormat="1" ht="13.8">
      <c r="A34" s="49" t="s">
        <v>10</v>
      </c>
      <c r="B34" s="247" t="s">
        <v>9</v>
      </c>
      <c r="C34" s="247"/>
      <c r="D34" s="247"/>
      <c r="E34" s="247"/>
    </row>
    <row r="35" spans="1:6" s="48" customFormat="1" ht="13.8">
      <c r="A35" s="49" t="s">
        <v>8</v>
      </c>
      <c r="B35" s="247" t="s">
        <v>7</v>
      </c>
      <c r="C35" s="247"/>
      <c r="D35" s="247"/>
      <c r="E35" s="247"/>
    </row>
    <row r="36" spans="1:6" s="48" customFormat="1" ht="13.8">
      <c r="A36" s="49" t="s">
        <v>6</v>
      </c>
      <c r="B36" s="49" t="s">
        <v>5</v>
      </c>
      <c r="C36" s="49"/>
      <c r="D36" s="49"/>
      <c r="E36" s="49"/>
    </row>
    <row r="37" spans="1:6" s="48" customFormat="1" ht="13.8">
      <c r="A37" s="49" t="s">
        <v>4</v>
      </c>
      <c r="B37" s="49" t="s">
        <v>3</v>
      </c>
      <c r="C37" s="49"/>
      <c r="D37" s="49"/>
      <c r="E37" s="49"/>
    </row>
    <row r="38" spans="1:6" s="48" customFormat="1" ht="13.8">
      <c r="A38" s="236" t="s">
        <v>2</v>
      </c>
      <c r="B38" s="236"/>
      <c r="C38" s="236"/>
      <c r="D38" s="236"/>
      <c r="E38" s="236"/>
    </row>
    <row r="39" spans="1:6" s="48" customFormat="1" ht="13.8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 xr:uid="{00000000-0004-0000-0000-000000000000}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0"/>
  <sheetViews>
    <sheetView workbookViewId="0">
      <selection activeCell="M2" sqref="M2:M7"/>
    </sheetView>
  </sheetViews>
  <sheetFormatPr defaultColWidth="11.5546875" defaultRowHeight="14.4"/>
  <cols>
    <col min="2" max="2" width="21.33203125" customWidth="1"/>
    <col min="5" max="5" width="21.88671875" customWidth="1"/>
  </cols>
  <sheetData>
    <row r="1" spans="1:13">
      <c r="E1" s="203" t="s">
        <v>108</v>
      </c>
    </row>
    <row r="2" spans="1:13">
      <c r="K2" t="s">
        <v>109</v>
      </c>
      <c r="L2" s="198">
        <f>+F4+F21+F38+F56</f>
        <v>53397</v>
      </c>
      <c r="M2" s="198"/>
    </row>
    <row r="3" spans="1:13">
      <c r="I3" s="204" t="s">
        <v>31</v>
      </c>
      <c r="K3" t="s">
        <v>111</v>
      </c>
      <c r="L3" s="207">
        <f>+H13+H30+H47+H65</f>
        <v>19335.301507537682</v>
      </c>
      <c r="M3" s="207"/>
    </row>
    <row r="4" spans="1:13" ht="15.6">
      <c r="A4" s="205" t="s">
        <v>110</v>
      </c>
      <c r="B4" s="206">
        <v>1.38</v>
      </c>
      <c r="E4" s="196" t="s">
        <v>107</v>
      </c>
      <c r="F4" s="197">
        <f>+F5*0.85</f>
        <v>15019.5</v>
      </c>
      <c r="K4" t="s">
        <v>127</v>
      </c>
      <c r="L4" s="207">
        <f>+H15+H32+H49+H67</f>
        <v>22892.996984924619</v>
      </c>
      <c r="M4" s="207"/>
    </row>
    <row r="5" spans="1:13" ht="15.6">
      <c r="A5" s="205" t="s">
        <v>112</v>
      </c>
      <c r="B5" s="206">
        <v>1.48</v>
      </c>
      <c r="E5" s="208" t="s">
        <v>113</v>
      </c>
      <c r="F5" s="209">
        <f>50000*0.3534</f>
        <v>17670</v>
      </c>
      <c r="G5">
        <f>+F5*0.85</f>
        <v>15019.5</v>
      </c>
      <c r="K5" t="s">
        <v>117</v>
      </c>
      <c r="L5" s="207">
        <f>+H17+H34+H51+H69</f>
        <v>19335.301507537682</v>
      </c>
      <c r="M5" s="207"/>
    </row>
    <row r="6" spans="1:13" ht="15.6">
      <c r="A6" s="205" t="s">
        <v>114</v>
      </c>
      <c r="B6" s="206">
        <v>1.32</v>
      </c>
      <c r="E6" s="208" t="s">
        <v>115</v>
      </c>
      <c r="F6" s="209">
        <f>+G5-G5*0.02</f>
        <v>14719.11</v>
      </c>
      <c r="G6" s="181" t="s">
        <v>116</v>
      </c>
      <c r="L6" s="207">
        <f>SUM(L3:L5)</f>
        <v>61563.599999999984</v>
      </c>
      <c r="M6" s="207"/>
    </row>
    <row r="7" spans="1:13">
      <c r="L7" s="198"/>
    </row>
    <row r="9" spans="1:13" ht="15" thickBot="1"/>
    <row r="10" spans="1:13" ht="18.600000000000001" thickBot="1">
      <c r="A10" s="248" t="s">
        <v>118</v>
      </c>
      <c r="B10" s="249"/>
      <c r="C10" s="249"/>
      <c r="D10" s="249"/>
      <c r="E10" s="249"/>
      <c r="F10" s="249"/>
      <c r="G10" s="249"/>
      <c r="H10" s="210"/>
    </row>
    <row r="11" spans="1:13" ht="43.2">
      <c r="A11" s="211" t="s">
        <v>119</v>
      </c>
      <c r="B11" s="212" t="s">
        <v>120</v>
      </c>
      <c r="C11" s="212" t="s">
        <v>121</v>
      </c>
      <c r="D11" s="212" t="s">
        <v>122</v>
      </c>
      <c r="E11" s="213"/>
      <c r="F11" s="214" t="s">
        <v>104</v>
      </c>
      <c r="G11" s="215" t="s">
        <v>123</v>
      </c>
      <c r="H11" s="216" t="s">
        <v>124</v>
      </c>
    </row>
    <row r="12" spans="1:13">
      <c r="A12" s="217" t="s">
        <v>125</v>
      </c>
      <c r="B12" s="218" t="s">
        <v>126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111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127</v>
      </c>
      <c r="B14" s="225" t="s">
        <v>128</v>
      </c>
      <c r="C14" s="226">
        <v>0</v>
      </c>
      <c r="D14" s="226" t="s">
        <v>110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127</v>
      </c>
      <c r="B15" s="225" t="s">
        <v>128</v>
      </c>
      <c r="C15" s="226">
        <v>140</v>
      </c>
      <c r="D15" s="226" t="s">
        <v>112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129</v>
      </c>
      <c r="B16" s="229" t="s">
        <v>130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117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2" thickBot="1">
      <c r="A18" s="250" t="s">
        <v>131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6">
      <c r="A21" s="205" t="s">
        <v>110</v>
      </c>
      <c r="B21" s="206">
        <v>1.38</v>
      </c>
      <c r="E21" s="196" t="s">
        <v>107</v>
      </c>
      <c r="F21" s="197">
        <f>+F22*0.85</f>
        <v>12342</v>
      </c>
    </row>
    <row r="22" spans="1:9" ht="15.6">
      <c r="A22" s="205" t="s">
        <v>112</v>
      </c>
      <c r="B22" s="206">
        <v>1.48</v>
      </c>
      <c r="E22" s="208" t="s">
        <v>113</v>
      </c>
      <c r="F22" s="209">
        <f>50000*0.2904</f>
        <v>14520</v>
      </c>
      <c r="G22">
        <f>+F22*0.85</f>
        <v>12342</v>
      </c>
    </row>
    <row r="23" spans="1:9" ht="15.6">
      <c r="A23" s="205" t="s">
        <v>114</v>
      </c>
      <c r="B23" s="206">
        <v>1.32</v>
      </c>
      <c r="E23" s="208" t="s">
        <v>115</v>
      </c>
      <c r="F23" s="209">
        <f>+G22-G22*0.02</f>
        <v>12095.16</v>
      </c>
      <c r="G23" s="181" t="s">
        <v>116</v>
      </c>
    </row>
    <row r="26" spans="1:9" ht="15" thickBot="1"/>
    <row r="27" spans="1:9" ht="18.600000000000001" thickBot="1">
      <c r="A27" s="248" t="s">
        <v>118</v>
      </c>
      <c r="B27" s="249"/>
      <c r="C27" s="249"/>
      <c r="D27" s="249"/>
      <c r="E27" s="249"/>
      <c r="F27" s="249"/>
      <c r="G27" s="249"/>
      <c r="H27" s="210"/>
    </row>
    <row r="28" spans="1:9" ht="43.2">
      <c r="A28" s="211" t="s">
        <v>119</v>
      </c>
      <c r="B28" s="212" t="s">
        <v>120</v>
      </c>
      <c r="C28" s="212" t="s">
        <v>121</v>
      </c>
      <c r="D28" s="212" t="s">
        <v>122</v>
      </c>
      <c r="E28" s="213"/>
      <c r="F28" s="214" t="s">
        <v>104</v>
      </c>
      <c r="G28" s="215" t="s">
        <v>123</v>
      </c>
      <c r="H28" s="216" t="s">
        <v>124</v>
      </c>
    </row>
    <row r="29" spans="1:9">
      <c r="A29" s="217" t="s">
        <v>125</v>
      </c>
      <c r="B29" s="218" t="s">
        <v>126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111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127</v>
      </c>
      <c r="B31" s="225" t="s">
        <v>128</v>
      </c>
      <c r="C31" s="226">
        <v>0</v>
      </c>
      <c r="D31" s="226" t="s">
        <v>110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127</v>
      </c>
      <c r="B32" s="225" t="s">
        <v>128</v>
      </c>
      <c r="C32" s="226">
        <v>140</v>
      </c>
      <c r="D32" s="226" t="s">
        <v>112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129</v>
      </c>
      <c r="B33" s="229" t="s">
        <v>130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117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2" thickBot="1">
      <c r="A35" s="250" t="s">
        <v>131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6">
      <c r="A38" s="205" t="s">
        <v>110</v>
      </c>
      <c r="B38" s="206">
        <v>1.38</v>
      </c>
      <c r="E38" s="196" t="s">
        <v>107</v>
      </c>
      <c r="F38" s="197">
        <f>+F39*0.85</f>
        <v>13119.749999999998</v>
      </c>
    </row>
    <row r="39" spans="1:9" ht="15.6">
      <c r="A39" s="205" t="s">
        <v>112</v>
      </c>
      <c r="B39" s="206">
        <v>1.48</v>
      </c>
      <c r="E39" s="208" t="s">
        <v>113</v>
      </c>
      <c r="F39" s="209">
        <f>50000*0.3087</f>
        <v>15434.999999999998</v>
      </c>
      <c r="G39">
        <f>+F39*0.85</f>
        <v>13119.749999999998</v>
      </c>
    </row>
    <row r="40" spans="1:9" ht="15.6">
      <c r="A40" s="205" t="s">
        <v>114</v>
      </c>
      <c r="B40" s="206">
        <v>1.32</v>
      </c>
      <c r="E40" s="208" t="s">
        <v>115</v>
      </c>
      <c r="F40" s="209">
        <f>+G39-G39*0.02</f>
        <v>12857.354999999998</v>
      </c>
      <c r="G40" s="181" t="s">
        <v>116</v>
      </c>
    </row>
    <row r="43" spans="1:9" ht="15" thickBot="1"/>
    <row r="44" spans="1:9" ht="18.600000000000001" thickBot="1">
      <c r="A44" s="248" t="s">
        <v>118</v>
      </c>
      <c r="B44" s="249"/>
      <c r="C44" s="249"/>
      <c r="D44" s="249"/>
      <c r="E44" s="249"/>
      <c r="F44" s="249"/>
      <c r="G44" s="249"/>
      <c r="H44" s="210"/>
    </row>
    <row r="45" spans="1:9" ht="43.2">
      <c r="A45" s="211" t="s">
        <v>119</v>
      </c>
      <c r="B45" s="212" t="s">
        <v>120</v>
      </c>
      <c r="C45" s="212" t="s">
        <v>121</v>
      </c>
      <c r="D45" s="212" t="s">
        <v>122</v>
      </c>
      <c r="E45" s="213"/>
      <c r="F45" s="214" t="s">
        <v>104</v>
      </c>
      <c r="G45" s="215" t="s">
        <v>123</v>
      </c>
      <c r="H45" s="216" t="s">
        <v>124</v>
      </c>
    </row>
    <row r="46" spans="1:9">
      <c r="A46" s="217" t="s">
        <v>125</v>
      </c>
      <c r="B46" s="218" t="s">
        <v>126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111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127</v>
      </c>
      <c r="B48" s="225" t="s">
        <v>128</v>
      </c>
      <c r="C48" s="226">
        <v>0</v>
      </c>
      <c r="D48" s="226" t="s">
        <v>110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127</v>
      </c>
      <c r="B49" s="225" t="s">
        <v>128</v>
      </c>
      <c r="C49" s="226">
        <v>140</v>
      </c>
      <c r="D49" s="226" t="s">
        <v>112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129</v>
      </c>
      <c r="B50" s="229" t="s">
        <v>130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117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2" thickBot="1">
      <c r="A52" s="250" t="s">
        <v>131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6">
      <c r="A56" s="205" t="s">
        <v>110</v>
      </c>
      <c r="B56" s="206">
        <v>1.38</v>
      </c>
      <c r="E56" s="196" t="s">
        <v>107</v>
      </c>
      <c r="F56" s="197">
        <f>+F57*0.85</f>
        <v>12915.75</v>
      </c>
    </row>
    <row r="57" spans="1:9" ht="15.6">
      <c r="A57" s="205" t="s">
        <v>112</v>
      </c>
      <c r="B57" s="206">
        <v>1.48</v>
      </c>
      <c r="E57" s="208" t="s">
        <v>113</v>
      </c>
      <c r="F57" s="209">
        <f>50000*0.3039</f>
        <v>15195</v>
      </c>
      <c r="G57">
        <f>+F57*0.85</f>
        <v>12915.75</v>
      </c>
    </row>
    <row r="58" spans="1:9" ht="15.6">
      <c r="A58" s="205" t="s">
        <v>114</v>
      </c>
      <c r="B58" s="206">
        <v>1.32</v>
      </c>
      <c r="E58" s="208" t="s">
        <v>115</v>
      </c>
      <c r="F58" s="209">
        <f>+G57-G57*0.02</f>
        <v>12657.434999999999</v>
      </c>
      <c r="G58" s="181" t="s">
        <v>116</v>
      </c>
    </row>
    <row r="61" spans="1:9" ht="15" thickBot="1"/>
    <row r="62" spans="1:9" ht="18.600000000000001" thickBot="1">
      <c r="A62" s="248" t="s">
        <v>118</v>
      </c>
      <c r="B62" s="249"/>
      <c r="C62" s="249"/>
      <c r="D62" s="249"/>
      <c r="E62" s="249"/>
      <c r="F62" s="249"/>
      <c r="G62" s="249"/>
      <c r="H62" s="210"/>
    </row>
    <row r="63" spans="1:9" ht="43.2">
      <c r="A63" s="211" t="s">
        <v>119</v>
      </c>
      <c r="B63" s="212" t="s">
        <v>120</v>
      </c>
      <c r="C63" s="212" t="s">
        <v>121</v>
      </c>
      <c r="D63" s="212" t="s">
        <v>122</v>
      </c>
      <c r="E63" s="213"/>
      <c r="F63" s="214" t="s">
        <v>104</v>
      </c>
      <c r="G63" s="215" t="s">
        <v>123</v>
      </c>
      <c r="H63" s="216" t="s">
        <v>124</v>
      </c>
    </row>
    <row r="64" spans="1:9">
      <c r="A64" s="217" t="s">
        <v>125</v>
      </c>
      <c r="B64" s="218" t="s">
        <v>126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111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127</v>
      </c>
      <c r="B66" s="225" t="s">
        <v>128</v>
      </c>
      <c r="C66" s="226">
        <v>0</v>
      </c>
      <c r="D66" s="226" t="s">
        <v>110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127</v>
      </c>
      <c r="B67" s="225" t="s">
        <v>128</v>
      </c>
      <c r="C67" s="226">
        <v>140</v>
      </c>
      <c r="D67" s="226" t="s">
        <v>112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129</v>
      </c>
      <c r="B68" s="229" t="s">
        <v>130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117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2" thickBot="1">
      <c r="A70" s="250" t="s">
        <v>131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3"/>
  <sheetViews>
    <sheetView workbookViewId="0">
      <selection activeCell="N25" sqref="N25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9" max="9" width="14.109375" customWidth="1"/>
    <col min="10" max="10" width="13" customWidth="1"/>
    <col min="11" max="11" width="28.5546875" bestFit="1" customWidth="1"/>
    <col min="12" max="12" width="13.5546875" bestFit="1" customWidth="1"/>
  </cols>
  <sheetData>
    <row r="2" spans="1:13" ht="17.399999999999999">
      <c r="A2" s="74" t="s">
        <v>63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64</v>
      </c>
      <c r="M2" s="76"/>
    </row>
    <row r="3" spans="1:13" ht="15.6">
      <c r="A3" s="62" t="s">
        <v>65</v>
      </c>
      <c r="B3" s="62"/>
      <c r="C3" s="62"/>
      <c r="D3" s="62"/>
      <c r="E3" s="77" t="s">
        <v>66</v>
      </c>
      <c r="F3" s="78"/>
      <c r="G3" s="79" t="s">
        <v>67</v>
      </c>
      <c r="H3" s="80"/>
      <c r="I3" s="81"/>
      <c r="J3" s="81"/>
      <c r="K3" s="82" t="s">
        <v>68</v>
      </c>
      <c r="L3" s="83" t="s">
        <v>69</v>
      </c>
      <c r="M3" s="84"/>
    </row>
    <row r="4" spans="1:13" ht="15.6">
      <c r="A4" s="62" t="s">
        <v>70</v>
      </c>
      <c r="B4" s="62"/>
      <c r="C4" s="85"/>
      <c r="D4" s="62" t="s">
        <v>71</v>
      </c>
      <c r="E4" s="86" t="s">
        <v>72</v>
      </c>
      <c r="F4" s="87"/>
      <c r="G4" s="79" t="s">
        <v>73</v>
      </c>
      <c r="H4" s="80"/>
      <c r="I4" s="81"/>
      <c r="J4" s="81"/>
      <c r="K4" s="82"/>
      <c r="L4" s="88"/>
      <c r="M4" s="89" t="s">
        <v>74</v>
      </c>
    </row>
    <row r="5" spans="1:13" ht="15.6">
      <c r="A5" s="90"/>
      <c r="B5" s="90" t="s">
        <v>75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6">
      <c r="A6" s="82" t="s">
        <v>46</v>
      </c>
      <c r="B6" s="82"/>
      <c r="C6" s="82" t="s">
        <v>76</v>
      </c>
      <c r="D6" s="85" t="s">
        <v>77</v>
      </c>
      <c r="E6" s="92"/>
      <c r="F6" s="92"/>
      <c r="G6" s="82" t="s">
        <v>78</v>
      </c>
      <c r="H6" s="82"/>
      <c r="I6" s="93"/>
      <c r="J6" s="93"/>
      <c r="K6" s="82"/>
      <c r="L6" s="82"/>
      <c r="M6" s="94"/>
    </row>
    <row r="7" spans="1:13" ht="15.6">
      <c r="A7" s="82"/>
      <c r="B7" s="82"/>
      <c r="C7" s="82" t="s">
        <v>79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6">
      <c r="A8" s="90"/>
      <c r="B8" s="90"/>
      <c r="C8" s="82" t="s">
        <v>80</v>
      </c>
      <c r="D8" s="90"/>
      <c r="E8" s="90"/>
      <c r="F8" s="90"/>
      <c r="G8" s="91" t="s">
        <v>81</v>
      </c>
      <c r="H8" s="95" t="s">
        <v>135</v>
      </c>
      <c r="I8" s="96"/>
      <c r="J8" s="90"/>
      <c r="K8" s="52"/>
      <c r="L8" s="90"/>
      <c r="M8" s="97"/>
    </row>
    <row r="9" spans="1:13" ht="16.2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" thickTop="1">
      <c r="A10" s="98" t="s">
        <v>82</v>
      </c>
      <c r="B10" s="99" t="s">
        <v>83</v>
      </c>
      <c r="C10" s="100"/>
      <c r="D10" s="100"/>
      <c r="E10" s="100"/>
      <c r="F10" s="101"/>
      <c r="G10" s="99" t="s">
        <v>84</v>
      </c>
      <c r="H10" s="101"/>
      <c r="I10" s="102" t="s">
        <v>85</v>
      </c>
      <c r="J10" s="103"/>
      <c r="K10" s="100" t="s">
        <v>86</v>
      </c>
      <c r="L10" s="104"/>
    </row>
    <row r="11" spans="1:13">
      <c r="A11" s="105" t="s">
        <v>69</v>
      </c>
      <c r="B11" s="106" t="s">
        <v>87</v>
      </c>
      <c r="C11" s="107"/>
      <c r="D11" s="107"/>
      <c r="E11" s="107"/>
      <c r="F11" s="108"/>
      <c r="G11" s="106" t="s">
        <v>88</v>
      </c>
      <c r="H11" s="108"/>
      <c r="I11" s="109" t="s">
        <v>89</v>
      </c>
      <c r="J11" s="110"/>
      <c r="K11" s="107" t="s">
        <v>90</v>
      </c>
      <c r="L11" s="111"/>
    </row>
    <row r="12" spans="1:13">
      <c r="A12" s="105" t="s">
        <v>91</v>
      </c>
      <c r="B12" s="112" t="s">
        <v>92</v>
      </c>
      <c r="C12" s="112" t="s">
        <v>93</v>
      </c>
      <c r="D12" s="112" t="s">
        <v>94</v>
      </c>
      <c r="E12" s="112" t="s">
        <v>95</v>
      </c>
      <c r="F12" s="112" t="s">
        <v>96</v>
      </c>
      <c r="G12" s="112" t="s">
        <v>97</v>
      </c>
      <c r="H12" s="113" t="s">
        <v>98</v>
      </c>
      <c r="I12" s="114" t="s">
        <v>99</v>
      </c>
      <c r="J12" s="114"/>
      <c r="K12" s="115" t="s">
        <v>100</v>
      </c>
      <c r="L12" s="116" t="s">
        <v>101</v>
      </c>
    </row>
    <row r="13" spans="1:13">
      <c r="A13" s="117" t="s">
        <v>102</v>
      </c>
      <c r="B13" s="118" t="s">
        <v>103</v>
      </c>
      <c r="C13" s="118"/>
      <c r="D13" s="118"/>
      <c r="E13" s="118"/>
      <c r="F13" s="118"/>
      <c r="G13" s="119"/>
      <c r="H13" s="119"/>
      <c r="I13" s="120" t="s">
        <v>104</v>
      </c>
      <c r="J13" s="121"/>
      <c r="K13" s="122"/>
      <c r="L13" s="123" t="s">
        <v>105</v>
      </c>
    </row>
    <row r="14" spans="1:13" ht="15.6">
      <c r="A14" s="124" t="s">
        <v>136</v>
      </c>
      <c r="B14" s="125" t="s">
        <v>137</v>
      </c>
      <c r="C14" s="126" t="s">
        <v>138</v>
      </c>
      <c r="D14" s="127" t="s">
        <v>139</v>
      </c>
      <c r="E14" s="128" t="s">
        <v>140</v>
      </c>
      <c r="F14" s="128" t="s">
        <v>141</v>
      </c>
      <c r="G14" s="128" t="s">
        <v>142</v>
      </c>
      <c r="H14" s="127" t="s">
        <v>143</v>
      </c>
      <c r="I14" s="129" t="s">
        <v>144</v>
      </c>
      <c r="J14" s="130" t="s">
        <v>145</v>
      </c>
      <c r="K14" s="131" t="s">
        <v>146</v>
      </c>
      <c r="L14" s="132" t="s">
        <v>147</v>
      </c>
    </row>
    <row r="15" spans="1:13" ht="15.6">
      <c r="A15" s="133" t="s">
        <v>148</v>
      </c>
      <c r="B15" s="134" t="s">
        <v>149</v>
      </c>
      <c r="C15" s="135" t="s">
        <v>150</v>
      </c>
      <c r="D15" s="136" t="s">
        <v>151</v>
      </c>
      <c r="E15" s="137" t="s">
        <v>152</v>
      </c>
      <c r="F15" s="137" t="s">
        <v>153</v>
      </c>
      <c r="G15" s="137" t="s">
        <v>154</v>
      </c>
      <c r="H15" s="136" t="s">
        <v>155</v>
      </c>
      <c r="I15" s="138" t="s">
        <v>156</v>
      </c>
      <c r="J15" s="139" t="s">
        <v>157</v>
      </c>
      <c r="K15" s="140" t="s">
        <v>158</v>
      </c>
      <c r="L15" s="141" t="s">
        <v>159</v>
      </c>
    </row>
    <row r="16" spans="1:13" ht="15.6">
      <c r="A16" s="142" t="s">
        <v>160</v>
      </c>
      <c r="B16" s="143" t="s">
        <v>161</v>
      </c>
      <c r="C16" s="126" t="s">
        <v>162</v>
      </c>
      <c r="D16" s="127" t="s">
        <v>163</v>
      </c>
      <c r="E16" s="128" t="s">
        <v>164</v>
      </c>
      <c r="F16" s="128" t="s">
        <v>165</v>
      </c>
      <c r="G16" s="128" t="s">
        <v>166</v>
      </c>
      <c r="H16" s="144" t="s">
        <v>167</v>
      </c>
      <c r="I16" s="129" t="s">
        <v>168</v>
      </c>
      <c r="J16" s="130" t="s">
        <v>169</v>
      </c>
      <c r="K16" s="131" t="s">
        <v>170</v>
      </c>
      <c r="L16" s="132" t="s">
        <v>171</v>
      </c>
    </row>
    <row r="17" spans="1:14" ht="15.6">
      <c r="A17" s="145" t="s">
        <v>172</v>
      </c>
      <c r="B17" s="134" t="s">
        <v>173</v>
      </c>
      <c r="C17" s="135" t="s">
        <v>174</v>
      </c>
      <c r="D17" s="136" t="s">
        <v>175</v>
      </c>
      <c r="E17" s="137" t="s">
        <v>176</v>
      </c>
      <c r="F17" s="137" t="s">
        <v>177</v>
      </c>
      <c r="G17" s="137" t="s">
        <v>178</v>
      </c>
      <c r="H17" s="136" t="s">
        <v>179</v>
      </c>
      <c r="I17" s="129" t="s">
        <v>180</v>
      </c>
      <c r="J17" s="130" t="s">
        <v>181</v>
      </c>
      <c r="K17" s="146" t="s">
        <v>182</v>
      </c>
      <c r="L17" s="147" t="s">
        <v>183</v>
      </c>
    </row>
    <row r="18" spans="1:14" ht="15.6">
      <c r="A18" s="148" t="s">
        <v>184</v>
      </c>
      <c r="B18" s="149" t="s">
        <v>185</v>
      </c>
      <c r="C18" s="150" t="s">
        <v>186</v>
      </c>
      <c r="D18" s="151" t="s">
        <v>187</v>
      </c>
      <c r="E18" s="149" t="s">
        <v>188</v>
      </c>
      <c r="F18" s="149" t="s">
        <v>189</v>
      </c>
      <c r="G18" s="149" t="s">
        <v>190</v>
      </c>
      <c r="H18" s="151" t="s">
        <v>191</v>
      </c>
      <c r="I18" s="152" t="s">
        <v>192</v>
      </c>
      <c r="J18" s="153" t="s">
        <v>193</v>
      </c>
      <c r="K18" s="154" t="s">
        <v>194</v>
      </c>
      <c r="L18" s="155" t="s">
        <v>195</v>
      </c>
    </row>
    <row r="19" spans="1:14" ht="15.6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106</v>
      </c>
      <c r="K19" s="162" t="e">
        <f>+K18*0.85</f>
        <v>#VALUE!</v>
      </c>
      <c r="L19" s="163"/>
    </row>
    <row r="20" spans="1:14" ht="15.6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2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2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6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 t="e">
        <f>+K15+K17+K19</f>
        <v>#VALUE!</v>
      </c>
      <c r="M23" s="171"/>
    </row>
    <row r="24" spans="1:14" ht="15.6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6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107</v>
      </c>
      <c r="L25" s="197">
        <v>53397</v>
      </c>
      <c r="M25" s="171"/>
      <c r="N25" s="198" t="e">
        <f>+L25-L23</f>
        <v>#VALUE!</v>
      </c>
    </row>
    <row r="26" spans="1:14">
      <c r="A26" s="192"/>
      <c r="B26" s="193"/>
      <c r="C26" s="193"/>
      <c r="D26" s="193"/>
      <c r="E26" s="193"/>
      <c r="L26" s="199"/>
      <c r="N26" s="200" t="e">
        <f>+N25/L25</f>
        <v>#VALUE!</v>
      </c>
    </row>
    <row r="27" spans="1:14" ht="15.6">
      <c r="A27" s="192"/>
      <c r="B27" s="201"/>
      <c r="C27" s="201"/>
      <c r="D27" s="201"/>
      <c r="E27" s="201"/>
      <c r="F27" s="198"/>
      <c r="K27" s="189"/>
      <c r="L27" s="202"/>
    </row>
    <row r="28" spans="1:14" ht="15.6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H69"/>
  <sheetViews>
    <sheetView tabSelected="1" topLeftCell="A19" workbookViewId="0">
      <selection activeCell="D38" sqref="D38"/>
    </sheetView>
  </sheetViews>
  <sheetFormatPr defaultColWidth="11.5546875" defaultRowHeight="14.4"/>
  <cols>
    <col min="1" max="1" width="8" customWidth="1"/>
    <col min="3" max="3" width="25.6640625" customWidth="1"/>
    <col min="6" max="6" width="13" bestFit="1" customWidth="1"/>
    <col min="7" max="7" width="21.33203125" customWidth="1"/>
    <col min="8" max="8" width="21.6640625" customWidth="1"/>
  </cols>
  <sheetData>
    <row r="7" spans="1:8" ht="17.399999999999999">
      <c r="A7" s="51"/>
      <c r="G7" s="52" t="s">
        <v>132</v>
      </c>
      <c r="H7" s="53"/>
    </row>
    <row r="8" spans="1:8" ht="17.399999999999999">
      <c r="A8" s="51"/>
    </row>
    <row r="9" spans="1:8">
      <c r="A9" s="54"/>
    </row>
    <row r="10" spans="1:8" ht="15.6">
      <c r="A10" s="52"/>
      <c r="B10" s="52"/>
      <c r="C10" s="52"/>
      <c r="D10" s="52"/>
      <c r="E10" s="52"/>
      <c r="F10" s="52"/>
      <c r="G10" s="52"/>
      <c r="H10" s="52"/>
    </row>
    <row r="11" spans="1:8" ht="15.6">
      <c r="A11" s="52"/>
      <c r="B11" s="55"/>
      <c r="C11" s="55"/>
      <c r="D11" s="55"/>
      <c r="E11" s="55"/>
      <c r="F11" s="55"/>
      <c r="G11" s="55"/>
      <c r="H11" s="55"/>
    </row>
    <row r="12" spans="1:8" ht="15.6">
      <c r="A12" s="52"/>
      <c r="B12" s="55"/>
      <c r="C12" s="55"/>
      <c r="D12" s="55"/>
      <c r="E12" s="55"/>
      <c r="F12" s="55"/>
      <c r="G12" s="55"/>
      <c r="H12" s="55"/>
    </row>
    <row r="13" spans="1:8" ht="15.6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6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6">
      <c r="A15" s="52"/>
      <c r="B15" s="55"/>
      <c r="C15" s="55"/>
      <c r="D15" s="55"/>
      <c r="E15" s="55"/>
      <c r="F15" s="55"/>
      <c r="G15" s="55"/>
      <c r="H15" s="55"/>
    </row>
    <row r="16" spans="1:8" ht="15.6">
      <c r="A16" s="52"/>
      <c r="B16" s="55"/>
      <c r="C16" s="55"/>
      <c r="D16" s="55"/>
      <c r="E16" s="55"/>
      <c r="F16" s="55"/>
      <c r="G16" s="55"/>
      <c r="H16" s="55"/>
    </row>
    <row r="17" spans="1:8" ht="15.6">
      <c r="A17" s="52"/>
      <c r="B17" s="55"/>
      <c r="C17" s="55"/>
      <c r="D17" s="55"/>
      <c r="E17" s="55"/>
      <c r="F17" s="55"/>
      <c r="G17" s="55"/>
      <c r="H17" s="55"/>
    </row>
    <row r="18" spans="1:8" ht="15.6">
      <c r="A18" s="52"/>
      <c r="B18" s="55"/>
      <c r="C18" s="55"/>
      <c r="D18" s="55"/>
      <c r="E18" s="55"/>
      <c r="F18" s="55"/>
      <c r="G18" s="55"/>
      <c r="H18" s="55"/>
    </row>
    <row r="19" spans="1:8" ht="15.6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6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6">
      <c r="A21" s="52"/>
      <c r="B21" s="55"/>
      <c r="C21" s="55"/>
      <c r="D21" s="55"/>
      <c r="E21" s="55"/>
      <c r="F21" s="55"/>
      <c r="G21" s="55"/>
      <c r="H21" s="55"/>
    </row>
    <row r="22" spans="1:8" ht="15.6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6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6">
      <c r="A24" s="52"/>
      <c r="B24" s="58"/>
      <c r="C24" s="55"/>
      <c r="D24" s="55"/>
      <c r="E24" s="55"/>
      <c r="F24" s="55"/>
      <c r="G24" s="55"/>
      <c r="H24" s="55"/>
    </row>
    <row r="25" spans="1:8" ht="15.6">
      <c r="A25" s="52"/>
      <c r="B25" s="55"/>
      <c r="C25" s="59" t="s">
        <v>48</v>
      </c>
      <c r="D25" s="55" t="s">
        <v>49</v>
      </c>
      <c r="E25" s="55"/>
      <c r="F25" s="55"/>
      <c r="G25" s="55"/>
      <c r="H25" s="55"/>
    </row>
    <row r="26" spans="1:8" ht="15.6">
      <c r="A26" s="52"/>
      <c r="B26" s="55"/>
      <c r="C26" s="59" t="s">
        <v>50</v>
      </c>
      <c r="D26" s="55" t="s">
        <v>51</v>
      </c>
      <c r="E26" s="55"/>
      <c r="F26" s="55"/>
      <c r="G26" s="55"/>
      <c r="H26" s="55"/>
    </row>
    <row r="27" spans="1:8" ht="15.6">
      <c r="A27" s="52"/>
      <c r="B27" s="55"/>
      <c r="C27" s="59"/>
      <c r="D27" s="55"/>
      <c r="E27" s="55"/>
      <c r="F27" s="55"/>
      <c r="G27" s="55"/>
      <c r="H27" s="55"/>
    </row>
    <row r="28" spans="1:8" ht="15.6">
      <c r="A28" s="52"/>
      <c r="B28" s="55"/>
      <c r="C28" s="59"/>
      <c r="D28" s="55"/>
      <c r="E28" s="55"/>
      <c r="F28" s="55"/>
      <c r="G28" s="55"/>
      <c r="H28" s="55"/>
    </row>
    <row r="29" spans="1:8" ht="15.6">
      <c r="A29" s="52"/>
      <c r="B29" s="58"/>
      <c r="C29" s="55"/>
      <c r="D29" s="55"/>
      <c r="E29" s="55"/>
      <c r="F29" s="55"/>
      <c r="G29" s="55"/>
      <c r="H29" s="55"/>
    </row>
    <row r="30" spans="1:8" ht="15.6">
      <c r="A30" s="52"/>
      <c r="B30" s="58"/>
      <c r="C30" s="55"/>
      <c r="D30" s="55"/>
      <c r="E30" s="55"/>
      <c r="F30" s="55"/>
      <c r="G30" s="55"/>
      <c r="H30" s="55"/>
    </row>
    <row r="31" spans="1:8" ht="15.6">
      <c r="A31" s="52"/>
      <c r="B31" s="58" t="s">
        <v>52</v>
      </c>
      <c r="C31" s="55"/>
      <c r="D31" s="55"/>
      <c r="E31" s="55"/>
      <c r="F31" s="55"/>
      <c r="G31" s="55"/>
      <c r="H31" s="55"/>
    </row>
    <row r="32" spans="1:8" ht="15.6">
      <c r="A32" s="52"/>
      <c r="B32" s="58" t="s">
        <v>53</v>
      </c>
      <c r="C32" s="55"/>
      <c r="D32" s="55"/>
      <c r="E32" s="55"/>
      <c r="F32" s="55"/>
      <c r="G32" s="55"/>
      <c r="H32" s="55"/>
    </row>
    <row r="33" spans="1:8" ht="15.6">
      <c r="A33" s="52"/>
      <c r="B33" s="58"/>
      <c r="C33" s="55"/>
      <c r="D33" s="58"/>
      <c r="E33" s="58"/>
      <c r="F33" s="58"/>
      <c r="G33" s="58"/>
      <c r="H33" s="55"/>
    </row>
    <row r="34" spans="1:8" ht="15.6">
      <c r="A34" s="52"/>
      <c r="B34" s="55"/>
      <c r="C34" s="55"/>
      <c r="D34" s="58"/>
      <c r="E34" s="58"/>
      <c r="F34" s="58"/>
      <c r="G34" s="55"/>
      <c r="H34" s="55"/>
    </row>
    <row r="35" spans="1:8" ht="15.6">
      <c r="A35" s="52"/>
      <c r="B35" s="55"/>
      <c r="C35" s="55"/>
      <c r="D35" s="55"/>
      <c r="E35" s="55"/>
      <c r="F35" s="60"/>
      <c r="G35" s="55"/>
      <c r="H35" s="55"/>
    </row>
    <row r="36" spans="1:8" ht="15.6">
      <c r="A36" s="52"/>
      <c r="B36" s="55"/>
      <c r="C36" s="55" t="s">
        <v>54</v>
      </c>
      <c r="D36" s="55" t="s">
        <v>133</v>
      </c>
      <c r="E36" s="55"/>
      <c r="F36" s="55"/>
      <c r="G36" s="55"/>
      <c r="H36" s="55"/>
    </row>
    <row r="37" spans="1:8" ht="15.6">
      <c r="A37" s="52"/>
      <c r="B37" s="55"/>
      <c r="C37" s="55" t="s">
        <v>54</v>
      </c>
      <c r="D37" s="55" t="s">
        <v>134</v>
      </c>
      <c r="E37" s="55"/>
      <c r="F37" s="60"/>
      <c r="G37" s="55"/>
      <c r="H37" s="55"/>
    </row>
    <row r="38" spans="1:8" ht="15.6">
      <c r="A38" s="52"/>
      <c r="B38" s="55"/>
      <c r="C38" s="55" t="s">
        <v>54</v>
      </c>
      <c r="D38" s="55" t="s">
        <v>55</v>
      </c>
      <c r="E38" s="55"/>
      <c r="F38" s="60"/>
      <c r="G38" s="55"/>
      <c r="H38" s="55"/>
    </row>
    <row r="39" spans="1:8" ht="15.6">
      <c r="A39" s="52" t="s">
        <v>46</v>
      </c>
      <c r="B39" s="55"/>
      <c r="C39" s="61"/>
      <c r="D39" s="61"/>
      <c r="E39" s="55"/>
      <c r="F39" s="55"/>
      <c r="G39" s="55"/>
      <c r="H39" s="55"/>
    </row>
    <row r="40" spans="1:8" ht="15.6">
      <c r="A40" s="52"/>
      <c r="B40" s="55"/>
      <c r="C40" s="55"/>
      <c r="D40" s="55"/>
      <c r="E40" s="55"/>
      <c r="F40" s="55"/>
      <c r="G40" s="55"/>
      <c r="H40" s="55"/>
    </row>
    <row r="41" spans="1:8" ht="15.6">
      <c r="A41" s="52"/>
      <c r="B41" s="58" t="s">
        <v>56</v>
      </c>
      <c r="C41" s="55"/>
      <c r="D41" s="55"/>
      <c r="E41" s="55"/>
      <c r="F41" s="55"/>
      <c r="G41" s="55"/>
      <c r="H41" s="55"/>
    </row>
    <row r="42" spans="1:8" ht="15.6">
      <c r="A42" s="52"/>
      <c r="B42" s="52"/>
      <c r="C42" s="52"/>
      <c r="D42" s="52"/>
      <c r="E42" s="52"/>
      <c r="F42" s="52"/>
      <c r="G42" s="52"/>
      <c r="H42" s="62"/>
    </row>
    <row r="43" spans="1:8" ht="15.6">
      <c r="A43" s="52"/>
      <c r="B43" s="63"/>
      <c r="C43" s="62"/>
      <c r="D43" s="52"/>
      <c r="E43" s="52"/>
      <c r="F43" s="52"/>
      <c r="G43" s="52"/>
      <c r="H43" s="62"/>
    </row>
    <row r="44" spans="1:8" ht="15.6">
      <c r="A44" s="52"/>
      <c r="B44" s="63"/>
      <c r="C44" s="62"/>
      <c r="D44" s="52"/>
      <c r="E44" s="52"/>
      <c r="F44" s="52"/>
      <c r="G44" s="52"/>
      <c r="H44" s="62"/>
    </row>
    <row r="45" spans="1:8" ht="15.6">
      <c r="A45" s="52"/>
      <c r="B45" s="63"/>
      <c r="C45" s="62"/>
      <c r="D45" s="52"/>
      <c r="E45" s="52"/>
      <c r="F45" s="52"/>
      <c r="G45" s="52"/>
      <c r="H45" s="62"/>
    </row>
    <row r="46" spans="1:8" ht="15.6">
      <c r="A46" s="52"/>
      <c r="B46" s="63"/>
      <c r="C46" s="52"/>
      <c r="D46" s="52"/>
      <c r="E46" s="52"/>
      <c r="F46" s="52"/>
      <c r="G46" s="52"/>
      <c r="H46" s="52"/>
    </row>
    <row r="47" spans="1:8" ht="15.6">
      <c r="A47" s="52"/>
      <c r="B47" s="52"/>
      <c r="C47" s="52"/>
      <c r="D47" s="52"/>
      <c r="E47" s="52"/>
      <c r="F47" s="52"/>
      <c r="G47" s="52"/>
      <c r="H47" s="52"/>
    </row>
    <row r="48" spans="1:8" ht="15.6">
      <c r="A48" s="52"/>
      <c r="B48" s="52"/>
      <c r="C48" s="52"/>
      <c r="D48" s="52"/>
      <c r="E48" s="52"/>
      <c r="F48" s="52"/>
      <c r="G48" s="52"/>
      <c r="H48" s="52"/>
    </row>
    <row r="49" spans="1:8" ht="15.6">
      <c r="A49" s="52"/>
      <c r="B49" s="52"/>
      <c r="C49" s="52"/>
      <c r="D49" s="52"/>
      <c r="E49" s="52"/>
      <c r="F49" s="52"/>
      <c r="G49" s="52"/>
      <c r="H49" s="52"/>
    </row>
    <row r="50" spans="1:8" ht="15.6">
      <c r="A50" s="52"/>
      <c r="B50" s="52"/>
      <c r="C50" s="52"/>
      <c r="D50" s="52"/>
      <c r="E50" s="52"/>
      <c r="F50" s="52"/>
      <c r="G50" s="52"/>
      <c r="H50" s="52"/>
    </row>
    <row r="51" spans="1:8" ht="15.6">
      <c r="A51" s="52"/>
      <c r="B51" s="52"/>
      <c r="C51" s="52"/>
      <c r="D51" s="52"/>
      <c r="E51" s="52"/>
      <c r="F51" s="52"/>
      <c r="G51" s="52"/>
      <c r="H51" s="52"/>
    </row>
    <row r="52" spans="1:8" ht="16.2" thickBot="1">
      <c r="A52" s="52"/>
      <c r="B52" s="52"/>
      <c r="C52" s="52"/>
      <c r="D52" s="52"/>
      <c r="E52" s="52"/>
      <c r="F52" s="52"/>
      <c r="G52" s="52"/>
      <c r="H52" s="52"/>
    </row>
    <row r="53" spans="1:8" ht="16.8">
      <c r="A53" s="64" t="s">
        <v>57</v>
      </c>
      <c r="B53" s="65"/>
      <c r="C53" s="66"/>
      <c r="D53" s="66"/>
      <c r="E53" s="67"/>
      <c r="F53" s="67"/>
      <c r="G53" s="67"/>
      <c r="H53" s="68"/>
    </row>
    <row r="54" spans="1:8" ht="16.8">
      <c r="A54" s="69" t="s">
        <v>58</v>
      </c>
      <c r="E54" s="70"/>
      <c r="F54" s="70"/>
      <c r="G54" s="70"/>
      <c r="H54" s="71"/>
    </row>
    <row r="55" spans="1:8" ht="16.8">
      <c r="A55" s="72" t="s">
        <v>59</v>
      </c>
      <c r="E55" s="70"/>
      <c r="F55" s="70"/>
      <c r="G55" s="70"/>
      <c r="H55" s="71"/>
    </row>
    <row r="56" spans="1:8" ht="16.8">
      <c r="A56" s="72" t="s">
        <v>60</v>
      </c>
      <c r="E56" s="70"/>
      <c r="F56" s="70"/>
      <c r="G56" s="70"/>
      <c r="H56" s="71"/>
    </row>
    <row r="57" spans="1:8" ht="16.8">
      <c r="A57" s="73" t="s">
        <v>61</v>
      </c>
      <c r="E57" s="70"/>
      <c r="F57" s="70"/>
      <c r="G57" s="70"/>
      <c r="H57" s="71"/>
    </row>
    <row r="58" spans="1:8" ht="16.8">
      <c r="A58" s="73" t="s">
        <v>62</v>
      </c>
      <c r="E58" s="70"/>
      <c r="F58" s="70"/>
      <c r="G58" s="70"/>
      <c r="H58" s="71"/>
    </row>
    <row r="59" spans="1:8" ht="16.8">
      <c r="A59" s="52"/>
      <c r="B59" s="71"/>
      <c r="C59" s="52"/>
      <c r="D59" s="52"/>
      <c r="E59" s="52"/>
      <c r="F59" s="52"/>
      <c r="G59" s="52"/>
      <c r="H59" s="52"/>
    </row>
    <row r="60" spans="1:8" ht="16.8">
      <c r="A60" s="52"/>
      <c r="B60" s="71"/>
      <c r="C60" s="52"/>
      <c r="D60" s="52"/>
      <c r="E60" s="52"/>
      <c r="F60" s="52"/>
      <c r="G60" s="52"/>
      <c r="H60" s="52"/>
    </row>
    <row r="61" spans="1:8" ht="15.6">
      <c r="A61" s="52"/>
      <c r="B61" s="52"/>
      <c r="C61" s="52"/>
      <c r="D61" s="52"/>
      <c r="E61" s="52"/>
      <c r="F61" s="52"/>
      <c r="G61" s="52"/>
      <c r="H61" s="52"/>
    </row>
    <row r="62" spans="1:8" ht="15.6">
      <c r="A62" s="52"/>
      <c r="B62" s="52"/>
      <c r="C62" s="52"/>
      <c r="D62" s="52"/>
      <c r="E62" s="52"/>
      <c r="F62" s="52"/>
      <c r="G62" s="52"/>
      <c r="H62" s="52"/>
    </row>
    <row r="63" spans="1:8" ht="15.6">
      <c r="A63" s="52"/>
      <c r="B63" s="52"/>
      <c r="C63" s="52"/>
      <c r="D63" s="52"/>
      <c r="E63" s="52"/>
      <c r="F63" s="52"/>
      <c r="G63" s="52"/>
      <c r="H63" s="52"/>
    </row>
    <row r="64" spans="1:8" ht="15.6">
      <c r="A64" s="52"/>
      <c r="B64" s="52"/>
      <c r="C64" s="52"/>
      <c r="D64" s="52"/>
      <c r="E64" s="52"/>
      <c r="F64" s="52"/>
      <c r="G64" s="52"/>
      <c r="H64" s="52"/>
    </row>
    <row r="65" spans="1:8" ht="15.6">
      <c r="A65" s="52"/>
      <c r="B65" s="52"/>
      <c r="C65" s="52"/>
      <c r="D65" s="52"/>
      <c r="E65" s="52"/>
      <c r="F65" s="52"/>
      <c r="G65" s="52"/>
      <c r="H65" s="52"/>
    </row>
    <row r="66" spans="1:8" ht="15.6">
      <c r="A66" s="52"/>
      <c r="B66" s="52"/>
      <c r="C66" s="52"/>
      <c r="D66" s="52"/>
      <c r="E66" s="52"/>
      <c r="F66" s="52"/>
      <c r="G66" s="52"/>
      <c r="H66" s="52"/>
    </row>
    <row r="67" spans="1:8" ht="15.6">
      <c r="A67" s="52"/>
      <c r="B67" s="52"/>
      <c r="C67" s="52"/>
      <c r="D67" s="52"/>
      <c r="E67" s="52"/>
      <c r="F67" s="52"/>
      <c r="G67" s="52"/>
      <c r="H67" s="52"/>
    </row>
    <row r="68" spans="1:8" ht="15.6">
      <c r="B68" s="52"/>
    </row>
    <row r="69" spans="1:8" ht="15.6">
      <c r="B69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reda ghalbi</cp:lastModifiedBy>
  <cp:lastPrinted>2025-07-11T15:17:46Z</cp:lastPrinted>
  <dcterms:created xsi:type="dcterms:W3CDTF">2024-12-19T10:20:11Z</dcterms:created>
  <dcterms:modified xsi:type="dcterms:W3CDTF">2025-07-21T21:42:34Z</dcterms:modified>
</cp:coreProperties>
</file>