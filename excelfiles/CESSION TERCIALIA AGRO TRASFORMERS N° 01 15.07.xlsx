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.hinni\Desktop\CESSION 2025\CESSION 07.25\"/>
    </mc:Choice>
  </mc:AlternateContent>
  <bookViews>
    <workbookView xWindow="0" yWindow="0" windowWidth="28800" windowHeight="12015"/>
  </bookViews>
  <sheets>
    <sheet name="FACTURE" sheetId="2" r:id="rId1"/>
    <sheet name="CALCUL " sheetId="4" r:id="rId2"/>
    <sheet name="FICHE " sheetId="5" r:id="rId3"/>
    <sheet name="ATT" sheetId="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5" i="5" l="1"/>
  <c r="N26" i="5"/>
  <c r="L23" i="5"/>
  <c r="F4" i="4"/>
  <c r="K19" i="5"/>
  <c r="K17" i="5"/>
  <c r="K15" i="5"/>
  <c r="C16" i="4"/>
  <c r="E16" i="4" s="1"/>
  <c r="E15" i="4"/>
  <c r="E14" i="4"/>
  <c r="E13" i="4"/>
  <c r="E12" i="4"/>
  <c r="E11" i="4"/>
  <c r="G4" i="4"/>
  <c r="F5" i="4" s="1"/>
  <c r="F3" i="4"/>
  <c r="L3" i="4" s="1"/>
  <c r="F11" i="4" l="1"/>
  <c r="F12" i="4"/>
  <c r="G12" i="4" s="1"/>
  <c r="H12" i="4" s="1"/>
  <c r="F13" i="4"/>
  <c r="G13" i="4" s="1"/>
  <c r="H13" i="4" s="1"/>
  <c r="F14" i="4"/>
  <c r="G14" i="4" s="1"/>
  <c r="H14" i="4" s="1"/>
  <c r="F15" i="4"/>
  <c r="G15" i="4" s="1"/>
  <c r="H15" i="4" s="1"/>
  <c r="L5" i="4" s="1"/>
  <c r="F16" i="4"/>
  <c r="G16" i="4" s="1"/>
  <c r="H16" i="4" s="1"/>
  <c r="L6" i="4" s="1"/>
  <c r="E17" i="4"/>
  <c r="L4" i="4" l="1"/>
  <c r="F17" i="4"/>
  <c r="G11" i="4"/>
  <c r="G17" i="4" l="1"/>
  <c r="H11" i="4"/>
  <c r="H17" i="4" s="1"/>
  <c r="E18" i="2" l="1"/>
  <c r="E21" i="2" l="1"/>
  <c r="E23" i="2" s="1"/>
</calcChain>
</file>

<file path=xl/sharedStrings.xml><?xml version="1.0" encoding="utf-8"?>
<sst xmlns="http://schemas.openxmlformats.org/spreadsheetml/2006/main" count="162" uniqueCount="135">
  <si>
    <t xml:space="preserve">Destinataire       </t>
  </si>
  <si>
    <t xml:space="preserve">Tél                     </t>
  </si>
  <si>
    <t xml:space="preserve">Fax                  </t>
  </si>
  <si>
    <t xml:space="preserve">E-mail               </t>
  </si>
  <si>
    <t xml:space="preserve">Affaire suivie par </t>
  </si>
  <si>
    <t>Code Article</t>
  </si>
  <si>
    <t>Références</t>
  </si>
  <si>
    <t xml:space="preserve">            Quantité</t>
  </si>
  <si>
    <t xml:space="preserve">P.U </t>
  </si>
  <si>
    <t xml:space="preserve">Montant </t>
  </si>
  <si>
    <t xml:space="preserve">Total Brut H.T   </t>
  </si>
  <si>
    <t>Représentant GPC</t>
  </si>
  <si>
    <t>RC Casa 102341 - CNSS TP: 2386945 - T.P: 32401222 - IF: 03700102 - ICE: 001525141000021</t>
  </si>
  <si>
    <t>Adresse électronique : contact@gpccarton.com</t>
  </si>
  <si>
    <t>www.gpccarton.com</t>
  </si>
  <si>
    <t xml:space="preserve">GPC Mohammédia : </t>
  </si>
  <si>
    <t>Route Côtière nº111 -   Tél : 0523 32 77 50 / 0523 30 34 15   -   Fax : 0523 32 60 51</t>
  </si>
  <si>
    <t xml:space="preserve">GPC Kénitra : </t>
  </si>
  <si>
    <t>Route de Tanger - BP 1398 -   Tél : 0537 37 17 67 / 0537 36 10 91   -   Fax : 0537 37 38 23</t>
  </si>
  <si>
    <t xml:space="preserve">GPC Agadir : </t>
  </si>
  <si>
    <t>ZI Ait Melloul - Lot 857 - BP 1763 -   Tél : 0528 24 90 33   -   Fax : 0528 24 81 19</t>
  </si>
  <si>
    <t xml:space="preserve">Papeterie Meknès : </t>
  </si>
  <si>
    <t>Route d'Agourai Km 2,300 -   Tél : 0535 53 72 60 / 0661 36 72 15   -   Fax : 0535 53 87 20</t>
  </si>
  <si>
    <t>Page 1 de 1</t>
  </si>
  <si>
    <t>Total TVA (00,00)</t>
  </si>
  <si>
    <t>ADV MOHAMMEDIA</t>
  </si>
  <si>
    <t>Régime :AT</t>
  </si>
  <si>
    <r>
      <t>GPC Papier &amp; Carton S.A.</t>
    </r>
    <r>
      <rPr>
        <sz val="8"/>
        <color theme="1"/>
        <rFont val="Calibri"/>
        <family val="2"/>
        <scheme val="minor"/>
      </rPr>
      <t xml:space="preserve">, au Capital de </t>
    </r>
    <r>
      <rPr>
        <b/>
        <sz val="8"/>
        <color theme="1"/>
        <rFont val="Calibri"/>
        <family val="2"/>
        <scheme val="minor"/>
      </rPr>
      <t xml:space="preserve">603.935.800,00 DH </t>
    </r>
    <r>
      <rPr>
        <sz val="8"/>
        <color theme="1"/>
        <rFont val="Calibri"/>
        <family val="2"/>
        <scheme val="minor"/>
      </rPr>
      <t xml:space="preserve">- </t>
    </r>
    <r>
      <rPr>
        <b/>
        <sz val="8"/>
        <color theme="1"/>
        <rFont val="Calibri"/>
        <family val="2"/>
        <scheme val="minor"/>
      </rPr>
      <t xml:space="preserve">Siège Social </t>
    </r>
    <r>
      <rPr>
        <sz val="8"/>
        <color theme="1"/>
        <rFont val="Calibri"/>
        <family val="2"/>
        <scheme val="minor"/>
      </rPr>
      <t xml:space="preserve">: 239, Bd Mohammed V - Casablanca </t>
    </r>
  </si>
  <si>
    <t xml:space="preserve">FACTURE CESSION </t>
  </si>
  <si>
    <t>CH0257</t>
  </si>
  <si>
    <t>TERCIALIA AGRO TRASFORMERS</t>
  </si>
  <si>
    <t>HAJRI KAOUTAR</t>
  </si>
  <si>
    <t>9T0346/0005  CARTON COPEMAR AVEC IMPRESSION  </t>
  </si>
  <si>
    <t>N°  116/2025</t>
  </si>
  <si>
    <t>TOTAL  :</t>
  </si>
  <si>
    <t>9T0346/0005</t>
  </si>
  <si>
    <t>B</t>
  </si>
  <si>
    <t>PDS A DECLARER =</t>
  </si>
  <si>
    <t>PDS</t>
  </si>
  <si>
    <t>C</t>
  </si>
  <si>
    <t>PDS SYSTÈME</t>
  </si>
  <si>
    <t>CR</t>
  </si>
  <si>
    <t>E</t>
  </si>
  <si>
    <t>PDS -2%</t>
  </si>
  <si>
    <t>fiche</t>
  </si>
  <si>
    <t>TL</t>
  </si>
  <si>
    <t>KL</t>
  </si>
  <si>
    <t>Saisie Composition double face (3 feuilles)</t>
  </si>
  <si>
    <t>Qualité</t>
  </si>
  <si>
    <t>Nomoclature</t>
  </si>
  <si>
    <t>Grammage</t>
  </si>
  <si>
    <t>type Cannelure</t>
  </si>
  <si>
    <t>%</t>
  </si>
  <si>
    <t>PDS NET/COMPTE</t>
  </si>
  <si>
    <t>PDS BRUT/COMPTE</t>
  </si>
  <si>
    <t>BB</t>
  </si>
  <si>
    <t>4810/480524</t>
  </si>
  <si>
    <t>WT</t>
  </si>
  <si>
    <t>480519/480511(309)</t>
  </si>
  <si>
    <t>480524/480525</t>
  </si>
  <si>
    <t>TOTAL</t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</si>
  <si>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</si>
  <si>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</si>
  <si>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</si>
  <si>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</si>
  <si>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</si>
  <si>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</si>
  <si>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</si>
  <si>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</si>
  <si>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</si>
  <si>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3.000 CAISSES EN CARTON</t>
  </si>
  <si>
    <t>A cet effet, nous autorisons la dite société à apurer nos comptes d'AT conformément</t>
  </si>
  <si>
    <t>aux quantités mentionnées sur les fiches d'imputation ci-jointes,</t>
  </si>
  <si>
    <t>AT :</t>
  </si>
  <si>
    <t>309 22 002272 DU 01/07/2024</t>
  </si>
  <si>
    <t>309 22 000751 DU 04/03/2025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</si>
  <si>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</si>
  <si>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</si>
  <si>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</si>
  <si>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</si>
  <si>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</si>
  <si>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</si>
  <si>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</si>
  <si>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</si>
  <si>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</si>
  <si>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</si>
  <si>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</si>
  <si>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</si>
  <si>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</si>
  <si>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</si>
  <si>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</si>
  <si>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</si>
  <si>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</si>
  <si>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</si>
  <si>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</si>
  <si>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</si>
  <si>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</si>
  <si>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</si>
  <si>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</si>
  <si>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</si>
  <si>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</si>
  <si>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</si>
  <si>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</si>
  <si>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</si>
  <si>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</si>
  <si>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</si>
  <si>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</si>
  <si>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</si>
  <si>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</si>
  <si>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</si>
  <si>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</si>
  <si>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</si>
  <si>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</si>
  <si>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</si>
  <si>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</si>
  <si>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</si>
  <si>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</si>
  <si>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</si>
  <si>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</si>
  <si>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</si>
  <si>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</si>
  <si>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</si>
  <si>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</si>
  <si>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</si>
  <si>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TAXABLE</t>
  </si>
  <si>
    <t>G P C</t>
  </si>
  <si>
    <t>PAPIER</t>
  </si>
  <si>
    <t>B.</t>
  </si>
  <si>
    <t>OUI</t>
  </si>
  <si>
    <t>N.</t>
  </si>
  <si>
    <t>22/2272</t>
  </si>
  <si>
    <t>22/751</t>
  </si>
  <si>
    <t>22/541</t>
  </si>
  <si>
    <t>MOHAMMEDIA LE, 15/07/2025</t>
  </si>
  <si>
    <t>309 22 000541 DU 13/02/2025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</si>
</sst>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_€_-;\-* #,##0.00\ _€_-;_-* &quot;-&quot;??\ _€_-;_-@_-"/>
    <numFmt numFmtId="165" formatCode="#,##0.000\ [$EUR]"/>
    <numFmt numFmtId="166" formatCode="0.0%"/>
    <numFmt numFmtId="167" formatCode="#,##0.00;[Red]#,##0.00"/>
    <numFmt numFmtId="168" formatCode="dd/mm/yy_)"/>
    <numFmt numFmtId="169" formatCode="#,##0.0000"/>
  </numFmts>
  <fonts count="47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rgb="FF000000"/>
      <name val="Calibri"/>
      <family val="2"/>
    </font>
    <font>
      <sz val="14"/>
      <name val="Tw Cen MT Condensed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ashed">
        <color indexed="8"/>
      </bottom>
      <diagonal/>
    </border>
    <border>
      <left style="double">
        <color indexed="8"/>
      </left>
      <right style="thin">
        <color indexed="8"/>
      </right>
      <top style="dashed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8"/>
      </right>
      <top style="dashed">
        <color indexed="8"/>
      </top>
      <bottom/>
      <diagonal/>
    </border>
    <border>
      <left/>
      <right style="double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dashed">
        <color indexed="64"/>
      </bottom>
      <diagonal/>
    </border>
    <border>
      <left/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/>
      <right style="thin">
        <color indexed="8"/>
      </right>
      <top/>
      <bottom style="dotted">
        <color indexed="64"/>
      </bottom>
      <diagonal/>
    </border>
    <border>
      <left/>
      <right style="thin">
        <color theme="1"/>
      </right>
      <top/>
      <bottom style="dashed">
        <color indexed="8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8"/>
      </top>
      <bottom/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theme="1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theme="1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theme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65" fontId="5" fillId="0" borderId="0" applyNumberFormat="0" applyFill="0" applyBorder="0" applyAlignment="0" applyProtection="0">
      <alignment vertical="top"/>
      <protection locked="0"/>
    </xf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4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4" borderId="1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/>
    <xf numFmtId="0" fontId="1" fillId="2" borderId="0" xfId="0" applyFont="1" applyFill="1" applyBorder="1" applyAlignment="1">
      <alignment horizontal="left"/>
    </xf>
    <xf numFmtId="0" fontId="0" fillId="0" borderId="0" xfId="0" applyFill="1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1" fillId="2" borderId="0" xfId="0" applyFont="1" applyFill="1" applyBorder="1"/>
    <xf numFmtId="0" fontId="1" fillId="2" borderId="0" xfId="0" applyNumberFormat="1" applyFont="1" applyFill="1" applyBorder="1"/>
    <xf numFmtId="0" fontId="6" fillId="2" borderId="4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1" fontId="7" fillId="2" borderId="0" xfId="0" applyNumberFormat="1" applyFont="1" applyFill="1"/>
    <xf numFmtId="165" fontId="5" fillId="2" borderId="0" xfId="1" applyFont="1" applyFill="1" applyAlignment="1" applyProtection="1"/>
    <xf numFmtId="4" fontId="6" fillId="3" borderId="8" xfId="0" applyNumberFormat="1" applyFont="1" applyFill="1" applyBorder="1"/>
    <xf numFmtId="0" fontId="9" fillId="2" borderId="0" xfId="1" applyNumberFormat="1" applyFont="1" applyFill="1" applyAlignment="1" applyProtection="1">
      <alignment horizontal="center"/>
    </xf>
    <xf numFmtId="0" fontId="10" fillId="2" borderId="0" xfId="0" applyFont="1" applyFill="1" applyAlignment="1">
      <alignment horizontal="center"/>
    </xf>
    <xf numFmtId="14" fontId="10" fillId="2" borderId="0" xfId="0" applyNumberFormat="1" applyFont="1" applyFill="1"/>
    <xf numFmtId="0" fontId="1" fillId="3" borderId="9" xfId="0" applyFont="1" applyFill="1" applyBorder="1"/>
    <xf numFmtId="2" fontId="10" fillId="2" borderId="8" xfId="0" applyNumberFormat="1" applyFont="1" applyFill="1" applyBorder="1" applyAlignment="1">
      <alignment horizontal="center"/>
    </xf>
    <xf numFmtId="3" fontId="10" fillId="2" borderId="4" xfId="0" applyNumberFormat="1" applyFont="1" applyFill="1" applyBorder="1" applyAlignment="1"/>
    <xf numFmtId="3" fontId="10" fillId="2" borderId="6" xfId="0" applyNumberFormat="1" applyFont="1" applyFill="1" applyBorder="1" applyAlignment="1"/>
    <xf numFmtId="3" fontId="10" fillId="2" borderId="7" xfId="0" applyNumberFormat="1" applyFont="1" applyFill="1" applyBorder="1" applyAlignment="1"/>
    <xf numFmtId="0" fontId="2" fillId="2" borderId="0" xfId="0" applyNumberFormat="1" applyFont="1" applyFill="1" applyAlignment="1">
      <alignment horizontal="center"/>
    </xf>
    <xf numFmtId="0" fontId="10" fillId="2" borderId="8" xfId="0" applyNumberFormat="1" applyFont="1" applyFill="1" applyBorder="1" applyAlignment="1">
      <alignment horizontal="center"/>
    </xf>
    <xf numFmtId="0" fontId="12" fillId="2" borderId="8" xfId="0" applyNumberFormat="1" applyFont="1" applyFill="1" applyBorder="1"/>
    <xf numFmtId="4" fontId="3" fillId="3" borderId="5" xfId="0" applyNumberFormat="1" applyFont="1" applyFill="1" applyBorder="1"/>
    <xf numFmtId="0" fontId="9" fillId="2" borderId="0" xfId="0" applyFont="1" applyFill="1" applyAlignment="1"/>
    <xf numFmtId="164" fontId="12" fillId="2" borderId="8" xfId="2" applyFont="1" applyFill="1" applyBorder="1"/>
    <xf numFmtId="164" fontId="12" fillId="2" borderId="3" xfId="2" applyFont="1" applyFill="1" applyBorder="1"/>
    <xf numFmtId="3" fontId="10" fillId="2" borderId="7" xfId="0" applyNumberFormat="1" applyFont="1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17" fillId="5" borderId="0" xfId="0" applyFont="1" applyFill="1"/>
    <xf numFmtId="0" fontId="0" fillId="5" borderId="0" xfId="0" applyFill="1"/>
    <xf numFmtId="0" fontId="0" fillId="6" borderId="0" xfId="0" applyFill="1"/>
    <xf numFmtId="0" fontId="18" fillId="0" borderId="3" xfId="0" applyFont="1" applyBorder="1" applyAlignment="1">
      <alignment horizontal="center"/>
    </xf>
    <xf numFmtId="0" fontId="0" fillId="0" borderId="3" xfId="0" applyBorder="1"/>
    <xf numFmtId="0" fontId="18" fillId="6" borderId="0" xfId="0" applyFont="1" applyFill="1"/>
    <xf numFmtId="4" fontId="18" fillId="6" borderId="0" xfId="0" applyNumberFormat="1" applyFont="1" applyFill="1" applyAlignment="1">
      <alignment horizontal="center"/>
    </xf>
    <xf numFmtId="4" fontId="0" fillId="0" borderId="0" xfId="0" applyNumberFormat="1"/>
    <xf numFmtId="0" fontId="18" fillId="0" borderId="0" xfId="0" applyFont="1" applyFill="1"/>
    <xf numFmtId="4" fontId="18" fillId="0" borderId="0" xfId="0" applyNumberFormat="1" applyFont="1" applyFill="1" applyAlignment="1">
      <alignment horizontal="center"/>
    </xf>
    <xf numFmtId="2" fontId="0" fillId="0" borderId="0" xfId="0" applyNumberFormat="1"/>
    <xf numFmtId="0" fontId="19" fillId="0" borderId="0" xfId="0" applyFont="1"/>
    <xf numFmtId="0" fontId="0" fillId="8" borderId="15" xfId="0" applyFill="1" applyBorder="1"/>
    <xf numFmtId="0" fontId="17" fillId="9" borderId="16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7" fillId="0" borderId="12" xfId="0" applyFont="1" applyBorder="1" applyAlignment="1" applyProtection="1">
      <alignment horizontal="center" vertical="center" wrapText="1"/>
      <protection hidden="1"/>
    </xf>
    <xf numFmtId="0" fontId="17" fillId="8" borderId="12" xfId="0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center" vertical="center" wrapText="1"/>
    </xf>
    <xf numFmtId="0" fontId="17" fillId="9" borderId="18" xfId="0" applyFont="1" applyFill="1" applyBorder="1" applyAlignment="1">
      <alignment horizontal="center" vertical="center" wrapText="1"/>
    </xf>
    <xf numFmtId="0" fontId="17" fillId="10" borderId="19" xfId="0" applyFont="1" applyFill="1" applyBorder="1" applyAlignment="1" applyProtection="1">
      <alignment horizontal="center"/>
      <protection locked="0"/>
    </xf>
    <xf numFmtId="0" fontId="17" fillId="10" borderId="3" xfId="0" applyFont="1" applyFill="1" applyBorder="1" applyAlignment="1" applyProtection="1">
      <alignment horizontal="center"/>
      <protection locked="0"/>
    </xf>
    <xf numFmtId="0" fontId="0" fillId="10" borderId="3" xfId="0" applyFill="1" applyBorder="1" applyAlignment="1" applyProtection="1">
      <alignment horizontal="center"/>
      <protection locked="0"/>
    </xf>
    <xf numFmtId="0" fontId="0" fillId="11" borderId="3" xfId="0" applyFill="1" applyBorder="1" applyAlignment="1" applyProtection="1">
      <alignment horizontal="center"/>
      <protection hidden="1"/>
    </xf>
    <xf numFmtId="166" fontId="17" fillId="6" borderId="3" xfId="3" applyNumberFormat="1" applyFont="1" applyFill="1" applyBorder="1" applyAlignment="1">
      <alignment horizontal="center"/>
    </xf>
    <xf numFmtId="2" fontId="0" fillId="0" borderId="20" xfId="0" applyNumberFormat="1" applyBorder="1"/>
    <xf numFmtId="2" fontId="0" fillId="0" borderId="21" xfId="0" applyNumberFormat="1" applyBorder="1"/>
    <xf numFmtId="0" fontId="17" fillId="12" borderId="19" xfId="0" applyFont="1" applyFill="1" applyBorder="1" applyAlignment="1" applyProtection="1">
      <alignment horizontal="center"/>
      <protection locked="0"/>
    </xf>
    <xf numFmtId="0" fontId="17" fillId="12" borderId="3" xfId="0" applyFont="1" applyFill="1" applyBorder="1" applyAlignment="1" applyProtection="1">
      <alignment horizontal="center"/>
      <protection locked="0"/>
    </xf>
    <xf numFmtId="0" fontId="0" fillId="12" borderId="3" xfId="0" applyFill="1" applyBorder="1" applyAlignment="1" applyProtection="1">
      <alignment horizontal="center"/>
      <protection locked="0"/>
    </xf>
    <xf numFmtId="0" fontId="0" fillId="13" borderId="3" xfId="0" applyFill="1" applyBorder="1" applyAlignment="1" applyProtection="1">
      <alignment horizontal="center"/>
      <protection hidden="1"/>
    </xf>
    <xf numFmtId="0" fontId="17" fillId="14" borderId="19" xfId="0" applyFont="1" applyFill="1" applyBorder="1" applyAlignment="1" applyProtection="1">
      <alignment horizontal="center"/>
      <protection locked="0"/>
    </xf>
    <xf numFmtId="0" fontId="17" fillId="14" borderId="3" xfId="0" applyFont="1" applyFill="1" applyBorder="1" applyAlignment="1" applyProtection="1">
      <alignment horizontal="center"/>
      <protection locked="0"/>
    </xf>
    <xf numFmtId="0" fontId="0" fillId="14" borderId="3" xfId="0" applyFill="1" applyBorder="1" applyAlignment="1" applyProtection="1">
      <alignment horizontal="center"/>
      <protection locked="0"/>
    </xf>
    <xf numFmtId="0" fontId="0" fillId="15" borderId="3" xfId="0" applyFill="1" applyBorder="1" applyAlignment="1" applyProtection="1">
      <alignment horizontal="center"/>
      <protection hidden="1"/>
    </xf>
    <xf numFmtId="0" fontId="17" fillId="16" borderId="25" xfId="0" applyFont="1" applyFill="1" applyBorder="1" applyAlignment="1" applyProtection="1">
      <alignment horizontal="center"/>
      <protection hidden="1"/>
    </xf>
    <xf numFmtId="166" fontId="17" fillId="16" borderId="26" xfId="3" applyNumberFormat="1" applyFont="1" applyFill="1" applyBorder="1" applyAlignment="1">
      <alignment horizontal="center"/>
    </xf>
    <xf numFmtId="167" fontId="18" fillId="16" borderId="27" xfId="0" applyNumberFormat="1" applyFont="1" applyFill="1" applyBorder="1"/>
    <xf numFmtId="4" fontId="17" fillId="16" borderId="28" xfId="0" applyNumberFormat="1" applyFont="1" applyFill="1" applyBorder="1"/>
    <xf numFmtId="0" fontId="21" fillId="0" borderId="0" xfId="0" applyFont="1"/>
    <xf numFmtId="0" fontId="18" fillId="0" borderId="0" xfId="0" applyFont="1"/>
    <xf numFmtId="14" fontId="18" fillId="0" borderId="0" xfId="0" applyNumberFormat="1" applyFont="1" applyAlignment="1" applyProtection="1">
      <alignment horizontal="left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3" fillId="0" borderId="0" xfId="0" applyFont="1" applyAlignment="1">
      <alignment horizontal="left"/>
    </xf>
    <xf numFmtId="14" fontId="23" fillId="0" borderId="0" xfId="0" applyNumberFormat="1" applyFont="1"/>
    <xf numFmtId="0" fontId="27" fillId="0" borderId="0" xfId="0" applyFont="1"/>
    <xf numFmtId="0" fontId="28" fillId="0" borderId="0" xfId="0" applyFont="1"/>
    <xf numFmtId="0" fontId="29" fillId="0" borderId="29" xfId="0" applyFont="1" applyBorder="1" applyAlignment="1"/>
    <xf numFmtId="0" fontId="34" fillId="0" borderId="29" xfId="0" applyFont="1" applyBorder="1" applyAlignment="1">
      <alignment horizontal="left"/>
    </xf>
    <xf numFmtId="0" fontId="0" fillId="0" borderId="29" xfId="0" applyBorder="1"/>
    <xf numFmtId="0" fontId="34" fillId="0" borderId="29" xfId="0" applyFont="1" applyBorder="1"/>
    <xf numFmtId="0" fontId="35" fillId="0" borderId="30" xfId="0" applyFont="1" applyBorder="1"/>
    <xf numFmtId="0" fontId="36" fillId="0" borderId="0" xfId="0" applyFont="1" applyAlignment="1"/>
    <xf numFmtId="0" fontId="34" fillId="0" borderId="0" xfId="0" applyFont="1"/>
    <xf numFmtId="0" fontId="35" fillId="0" borderId="0" xfId="0" applyFont="1"/>
    <xf numFmtId="0" fontId="29" fillId="0" borderId="0" xfId="0" applyFont="1"/>
    <xf numFmtId="0" fontId="29" fillId="0" borderId="0" xfId="0" applyFont="1" applyAlignme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7" fillId="0" borderId="0" xfId="0" applyFont="1" applyAlignment="1" applyProtection="1">
      <alignment horizontal="left"/>
    </xf>
    <xf numFmtId="0" fontId="27" fillId="0" borderId="31" xfId="0" applyFont="1" applyBorder="1" applyAlignment="1">
      <alignment horizontal="center"/>
    </xf>
    <xf numFmtId="0" fontId="38" fillId="17" borderId="32" xfId="0" applyFont="1" applyFill="1" applyBorder="1"/>
    <xf numFmtId="0" fontId="39" fillId="17" borderId="0" xfId="0" applyFont="1" applyFill="1"/>
    <xf numFmtId="0" fontId="39" fillId="0" borderId="0" xfId="0" applyFont="1"/>
    <xf numFmtId="0" fontId="39" fillId="0" borderId="0" xfId="0" applyFont="1" applyAlignment="1">
      <alignment horizontal="center"/>
    </xf>
    <xf numFmtId="0" fontId="40" fillId="0" borderId="0" xfId="0" applyFont="1"/>
    <xf numFmtId="0" fontId="39" fillId="0" borderId="31" xfId="0" applyFont="1" applyBorder="1" applyAlignment="1">
      <alignment horizontal="center"/>
    </xf>
    <xf numFmtId="0" fontId="38" fillId="0" borderId="32" xfId="0" applyFont="1" applyBorder="1" applyProtection="1"/>
    <xf numFmtId="0" fontId="27" fillId="17" borderId="0" xfId="0" applyFont="1" applyFill="1"/>
    <xf numFmtId="0" fontId="27" fillId="0" borderId="33" xfId="0" applyFont="1" applyBorder="1" applyAlignment="1">
      <alignment horizontal="center"/>
    </xf>
    <xf numFmtId="0" fontId="38" fillId="17" borderId="34" xfId="0" applyFont="1" applyFill="1" applyBorder="1"/>
    <xf numFmtId="0" fontId="39" fillId="17" borderId="33" xfId="0" applyFont="1" applyFill="1" applyBorder="1"/>
    <xf numFmtId="0" fontId="38" fillId="17" borderId="34" xfId="0" applyFont="1" applyFill="1" applyBorder="1" applyAlignment="1" applyProtection="1">
      <alignment horizontal="center"/>
    </xf>
    <xf numFmtId="0" fontId="38" fillId="0" borderId="0" xfId="0" applyFont="1"/>
    <xf numFmtId="0" fontId="38" fillId="0" borderId="0" xfId="0" applyFont="1" applyAlignment="1">
      <alignment horizontal="center"/>
    </xf>
    <xf numFmtId="0" fontId="40" fillId="17" borderId="0" xfId="0" applyFont="1" applyFill="1"/>
    <xf numFmtId="0" fontId="40" fillId="0" borderId="0" xfId="0" applyFont="1" applyAlignment="1">
      <alignment horizontal="center"/>
    </xf>
    <xf numFmtId="0" fontId="40" fillId="0" borderId="0" xfId="0" applyFont="1" applyProtection="1"/>
    <xf numFmtId="0" fontId="27" fillId="18" borderId="0" xfId="0" applyFont="1" applyFill="1"/>
    <xf numFmtId="0" fontId="0" fillId="18" borderId="0" xfId="0" applyFill="1" applyAlignment="1">
      <alignment horizontal="center"/>
    </xf>
    <xf numFmtId="0" fontId="38" fillId="0" borderId="0" xfId="0" applyFont="1" applyProtection="1"/>
    <xf numFmtId="0" fontId="41" fillId="0" borderId="35" xfId="0" applyFont="1" applyBorder="1" applyAlignment="1">
      <alignment horizontal="center" vertical="center"/>
    </xf>
    <xf numFmtId="0" fontId="40" fillId="0" borderId="36" xfId="0" applyFont="1" applyBorder="1"/>
    <xf numFmtId="0" fontId="40" fillId="0" borderId="37" xfId="0" applyFont="1" applyBorder="1"/>
    <xf numFmtId="0" fontId="40" fillId="0" borderId="38" xfId="0" applyFont="1" applyBorder="1"/>
    <xf numFmtId="0" fontId="41" fillId="0" borderId="39" xfId="0" applyFont="1" applyBorder="1" applyAlignment="1">
      <alignment horizontal="center"/>
    </xf>
    <xf numFmtId="0" fontId="41" fillId="0" borderId="40" xfId="0" applyFont="1" applyBorder="1" applyAlignment="1">
      <alignment horizontal="center"/>
    </xf>
    <xf numFmtId="0" fontId="40" fillId="0" borderId="41" xfId="0" applyFont="1" applyBorder="1" applyProtection="1"/>
    <xf numFmtId="0" fontId="41" fillId="0" borderId="42" xfId="0" applyFont="1" applyBorder="1" applyAlignment="1">
      <alignment horizontal="center"/>
    </xf>
    <xf numFmtId="0" fontId="40" fillId="0" borderId="33" xfId="0" applyFont="1" applyBorder="1"/>
    <xf numFmtId="0" fontId="40" fillId="0" borderId="43" xfId="0" applyFont="1" applyBorder="1"/>
    <xf numFmtId="0" fontId="40" fillId="0" borderId="34" xfId="0" applyFont="1" applyBorder="1"/>
    <xf numFmtId="0" fontId="41" fillId="0" borderId="44" xfId="0" applyFont="1" applyBorder="1" applyAlignment="1">
      <alignment horizontal="center"/>
    </xf>
    <xf numFmtId="0" fontId="41" fillId="0" borderId="45" xfId="0" applyFont="1" applyBorder="1" applyAlignment="1">
      <alignment horizontal="center"/>
    </xf>
    <xf numFmtId="0" fontId="40" fillId="0" borderId="46" xfId="0" applyFont="1" applyBorder="1" applyProtection="1"/>
    <xf numFmtId="0" fontId="42" fillId="0" borderId="47" xfId="0" applyFont="1" applyBorder="1" applyAlignment="1">
      <alignment horizontal="center"/>
    </xf>
    <xf numFmtId="0" fontId="42" fillId="0" borderId="47" xfId="0" applyFont="1" applyBorder="1"/>
    <xf numFmtId="0" fontId="41" fillId="0" borderId="48" xfId="0" applyFont="1" applyBorder="1" applyAlignment="1">
      <alignment horizontal="center"/>
    </xf>
    <xf numFmtId="0" fontId="42" fillId="0" borderId="32" xfId="0" applyFont="1" applyBorder="1" applyAlignment="1">
      <alignment horizontal="center"/>
    </xf>
    <xf numFmtId="0" fontId="43" fillId="6" borderId="49" xfId="0" applyFont="1" applyFill="1" applyBorder="1" applyAlignment="1">
      <alignment horizontal="center"/>
    </xf>
    <xf numFmtId="0" fontId="41" fillId="0" borderId="50" xfId="0" applyFont="1" applyBorder="1" applyAlignment="1">
      <alignment horizontal="center"/>
    </xf>
    <xf numFmtId="0" fontId="42" fillId="0" borderId="51" xfId="0" applyFont="1" applyBorder="1" applyAlignment="1">
      <alignment horizontal="center"/>
    </xf>
    <xf numFmtId="0" fontId="42" fillId="0" borderId="51" xfId="0" applyFont="1" applyBorder="1"/>
    <xf numFmtId="0" fontId="41" fillId="0" borderId="51" xfId="0" applyFont="1" applyBorder="1" applyAlignment="1">
      <alignment horizontal="center"/>
    </xf>
    <xf numFmtId="0" fontId="41" fillId="0" borderId="52" xfId="0" applyFont="1" applyBorder="1" applyAlignment="1">
      <alignment horizontal="center"/>
    </xf>
    <xf numFmtId="0" fontId="40" fillId="0" borderId="34" xfId="0" applyFont="1" applyBorder="1" applyAlignment="1">
      <alignment horizontal="center"/>
    </xf>
    <xf numFmtId="0" fontId="43" fillId="6" borderId="53" xfId="0" applyFont="1" applyFill="1" applyBorder="1" applyAlignment="1">
      <alignment horizontal="center"/>
    </xf>
    <xf numFmtId="9" fontId="27" fillId="0" borderId="54" xfId="0" applyNumberFormat="1" applyFont="1" applyBorder="1" applyAlignment="1" applyProtection="1">
      <alignment horizontal="center"/>
    </xf>
    <xf numFmtId="0" fontId="38" fillId="0" borderId="55" xfId="0" applyFont="1" applyBorder="1" applyAlignment="1">
      <alignment horizontal="center"/>
    </xf>
    <xf numFmtId="168" fontId="38" fillId="0" borderId="8" xfId="0" applyNumberFormat="1" applyFont="1" applyBorder="1" applyAlignment="1" applyProtection="1">
      <alignment horizontal="center"/>
    </xf>
    <xf numFmtId="0" fontId="27" fillId="0" borderId="44" xfId="0" applyFont="1" applyBorder="1" applyAlignment="1">
      <alignment horizontal="center"/>
    </xf>
    <xf numFmtId="0" fontId="38" fillId="0" borderId="44" xfId="0" applyFont="1" applyBorder="1" applyAlignment="1">
      <alignment horizontal="center"/>
    </xf>
    <xf numFmtId="9" fontId="40" fillId="0" borderId="55" xfId="0" applyNumberFormat="1" applyFont="1" applyBorder="1" applyAlignment="1" applyProtection="1">
      <alignment horizontal="center"/>
    </xf>
    <xf numFmtId="9" fontId="27" fillId="0" borderId="56" xfId="0" applyNumberFormat="1" applyFont="1" applyBorder="1" applyAlignment="1" applyProtection="1">
      <alignment horizontal="center"/>
    </xf>
    <xf numFmtId="4" fontId="27" fillId="0" borderId="57" xfId="0" applyNumberFormat="1" applyFont="1" applyBorder="1" applyAlignment="1">
      <alignment horizontal="center"/>
    </xf>
    <xf numFmtId="0" fontId="39" fillId="6" borderId="58" xfId="0" applyFont="1" applyFill="1" applyBorder="1" applyAlignment="1" applyProtection="1">
      <alignment horizontal="center"/>
    </xf>
    <xf numFmtId="0" fontId="39" fillId="0" borderId="59" xfId="0" applyFont="1" applyBorder="1" applyAlignment="1">
      <alignment horizontal="center"/>
    </xf>
    <xf numFmtId="0" fontId="38" fillId="0" borderId="60" xfId="0" applyFont="1" applyBorder="1" applyAlignment="1">
      <alignment horizontal="center"/>
    </xf>
    <xf numFmtId="168" fontId="38" fillId="0" borderId="61" xfId="0" applyNumberFormat="1" applyFont="1" applyBorder="1" applyAlignment="1" applyProtection="1">
      <alignment horizontal="center"/>
    </xf>
    <xf numFmtId="0" fontId="27" fillId="0" borderId="61" xfId="0" applyFont="1" applyBorder="1" applyAlignment="1">
      <alignment horizontal="center"/>
    </xf>
    <xf numFmtId="0" fontId="38" fillId="0" borderId="61" xfId="0" applyFont="1" applyBorder="1" applyAlignment="1">
      <alignment horizontal="center"/>
    </xf>
    <xf numFmtId="9" fontId="40" fillId="0" borderId="62" xfId="0" applyNumberFormat="1" applyFont="1" applyBorder="1" applyAlignment="1" applyProtection="1">
      <alignment horizontal="center"/>
    </xf>
    <xf numFmtId="9" fontId="27" fillId="0" borderId="63" xfId="0" applyNumberFormat="1" applyFont="1" applyBorder="1" applyAlignment="1" applyProtection="1">
      <alignment horizontal="center"/>
    </xf>
    <xf numFmtId="4" fontId="27" fillId="2" borderId="60" xfId="0" applyNumberFormat="1" applyFont="1" applyFill="1" applyBorder="1" applyAlignment="1">
      <alignment horizontal="center"/>
    </xf>
    <xf numFmtId="0" fontId="39" fillId="6" borderId="64" xfId="0" applyFont="1" applyFill="1" applyBorder="1" applyAlignment="1" applyProtection="1">
      <alignment horizontal="center"/>
    </xf>
    <xf numFmtId="0" fontId="39" fillId="0" borderId="65" xfId="0" applyFont="1" applyBorder="1" applyAlignment="1">
      <alignment horizontal="center"/>
    </xf>
    <xf numFmtId="0" fontId="38" fillId="0" borderId="66" xfId="0" applyFont="1" applyBorder="1" applyAlignment="1">
      <alignment horizontal="center"/>
    </xf>
    <xf numFmtId="0" fontId="27" fillId="0" borderId="67" xfId="0" applyFont="1" applyBorder="1" applyAlignment="1">
      <alignment horizontal="center"/>
    </xf>
    <xf numFmtId="0" fontId="39" fillId="0" borderId="68" xfId="0" applyFont="1" applyBorder="1" applyAlignment="1">
      <alignment horizontal="center"/>
    </xf>
    <xf numFmtId="4" fontId="27" fillId="2" borderId="55" xfId="0" applyNumberFormat="1" applyFont="1" applyFill="1" applyBorder="1" applyAlignment="1">
      <alignment horizontal="center"/>
    </xf>
    <xf numFmtId="0" fontId="39" fillId="6" borderId="69" xfId="0" applyFont="1" applyFill="1" applyBorder="1" applyAlignment="1" applyProtection="1">
      <alignment horizontal="center"/>
    </xf>
    <xf numFmtId="0" fontId="39" fillId="0" borderId="70" xfId="0" applyFont="1" applyBorder="1" applyAlignment="1">
      <alignment horizontal="center"/>
    </xf>
    <xf numFmtId="0" fontId="38" fillId="0" borderId="71" xfId="0" applyFont="1" applyBorder="1" applyAlignment="1">
      <alignment horizontal="center"/>
    </xf>
    <xf numFmtId="168" fontId="38" fillId="0" borderId="71" xfId="0" applyNumberFormat="1" applyFont="1" applyBorder="1" applyAlignment="1" applyProtection="1">
      <alignment horizontal="center"/>
    </xf>
    <xf numFmtId="0" fontId="27" fillId="0" borderId="71" xfId="0" applyFont="1" applyBorder="1" applyAlignment="1">
      <alignment horizontal="center"/>
    </xf>
    <xf numFmtId="9" fontId="40" fillId="0" borderId="71" xfId="0" applyNumberFormat="1" applyFont="1" applyBorder="1" applyAlignment="1" applyProtection="1">
      <alignment horizontal="center"/>
    </xf>
    <xf numFmtId="9" fontId="27" fillId="0" borderId="72" xfId="0" applyNumberFormat="1" applyFont="1" applyBorder="1" applyAlignment="1" applyProtection="1">
      <alignment horizontal="center"/>
    </xf>
    <xf numFmtId="4" fontId="27" fillId="2" borderId="73" xfId="0" applyNumberFormat="1" applyFont="1" applyFill="1" applyBorder="1" applyAlignment="1">
      <alignment horizontal="center"/>
    </xf>
    <xf numFmtId="0" fontId="39" fillId="6" borderId="74" xfId="0" applyFont="1" applyFill="1" applyBorder="1" applyAlignment="1" applyProtection="1">
      <alignment horizontal="center"/>
    </xf>
    <xf numFmtId="0" fontId="39" fillId="0" borderId="75" xfId="0" applyFont="1" applyBorder="1" applyAlignment="1">
      <alignment horizontal="center"/>
    </xf>
    <xf numFmtId="0" fontId="38" fillId="0" borderId="76" xfId="0" applyFont="1" applyBorder="1" applyAlignment="1">
      <alignment horizontal="center"/>
    </xf>
    <xf numFmtId="168" fontId="38" fillId="0" borderId="76" xfId="0" applyNumberFormat="1" applyFont="1" applyBorder="1" applyAlignment="1" applyProtection="1">
      <alignment horizontal="center"/>
    </xf>
    <xf numFmtId="0" fontId="27" fillId="0" borderId="76" xfId="0" applyFont="1" applyBorder="1" applyAlignment="1">
      <alignment horizontal="center"/>
    </xf>
    <xf numFmtId="9" fontId="40" fillId="0" borderId="76" xfId="0" applyNumberFormat="1" applyFont="1" applyBorder="1" applyAlignment="1" applyProtection="1">
      <alignment horizontal="center"/>
    </xf>
    <xf numFmtId="9" fontId="27" fillId="0" borderId="77" xfId="0" applyNumberFormat="1" applyFont="1" applyBorder="1" applyAlignment="1" applyProtection="1">
      <alignment horizontal="center"/>
    </xf>
    <xf numFmtId="4" fontId="27" fillId="2" borderId="78" xfId="0" applyNumberFormat="1" applyFont="1" applyFill="1" applyBorder="1" applyAlignment="1">
      <alignment horizontal="center"/>
    </xf>
    <xf numFmtId="0" fontId="39" fillId="6" borderId="79" xfId="0" applyFont="1" applyFill="1" applyBorder="1" applyAlignment="1" applyProtection="1">
      <alignment horizontal="center"/>
    </xf>
    <xf numFmtId="0" fontId="38" fillId="0" borderId="80" xfId="0" applyFont="1" applyBorder="1" applyAlignment="1">
      <alignment horizontal="center"/>
    </xf>
    <xf numFmtId="168" fontId="38" fillId="0" borderId="80" xfId="0" applyNumberFormat="1" applyFont="1" applyBorder="1" applyAlignment="1" applyProtection="1">
      <alignment horizontal="center"/>
    </xf>
    <xf numFmtId="0" fontId="27" fillId="0" borderId="80" xfId="0" applyFont="1" applyBorder="1" applyAlignment="1">
      <alignment horizontal="center"/>
    </xf>
    <xf numFmtId="9" fontId="40" fillId="0" borderId="80" xfId="0" applyNumberFormat="1" applyFont="1" applyBorder="1" applyAlignment="1" applyProtection="1">
      <alignment horizontal="center"/>
    </xf>
    <xf numFmtId="9" fontId="27" fillId="0" borderId="81" xfId="0" applyNumberFormat="1" applyFont="1" applyBorder="1" applyAlignment="1" applyProtection="1">
      <alignment horizontal="center"/>
    </xf>
    <xf numFmtId="4" fontId="27" fillId="0" borderId="82" xfId="0" applyNumberFormat="1" applyFont="1" applyBorder="1" applyAlignment="1">
      <alignment horizontal="center"/>
    </xf>
    <xf numFmtId="0" fontId="39" fillId="6" borderId="83" xfId="0" applyFont="1" applyFill="1" applyBorder="1" applyAlignment="1" applyProtection="1">
      <alignment horizontal="center"/>
    </xf>
    <xf numFmtId="0" fontId="0" fillId="0" borderId="0" xfId="0" applyProtection="1"/>
    <xf numFmtId="0" fontId="39" fillId="0" borderId="84" xfId="0" applyFont="1" applyBorder="1" applyAlignment="1">
      <alignment horizontal="center"/>
    </xf>
    <xf numFmtId="0" fontId="38" fillId="0" borderId="85" xfId="0" applyFont="1" applyBorder="1" applyAlignment="1">
      <alignment horizontal="center"/>
    </xf>
    <xf numFmtId="168" fontId="38" fillId="0" borderId="85" xfId="0" applyNumberFormat="1" applyFont="1" applyBorder="1" applyAlignment="1" applyProtection="1">
      <alignment horizontal="center"/>
    </xf>
    <xf numFmtId="0" fontId="27" fillId="0" borderId="85" xfId="0" applyFont="1" applyBorder="1" applyAlignment="1">
      <alignment horizontal="center"/>
    </xf>
    <xf numFmtId="9" fontId="38" fillId="0" borderId="85" xfId="0" applyNumberFormat="1" applyFont="1" applyBorder="1" applyAlignment="1" applyProtection="1">
      <alignment horizontal="center"/>
    </xf>
    <xf numFmtId="9" fontId="27" fillId="0" borderId="86" xfId="0" applyNumberFormat="1" applyFont="1" applyBorder="1" applyAlignment="1" applyProtection="1">
      <alignment horizontal="center"/>
    </xf>
    <xf numFmtId="0" fontId="0" fillId="0" borderId="87" xfId="0" applyBorder="1"/>
    <xf numFmtId="0" fontId="38" fillId="6" borderId="88" xfId="0" applyFont="1" applyFill="1" applyBorder="1" applyAlignment="1" applyProtection="1">
      <alignment horizontal="center"/>
    </xf>
    <xf numFmtId="0" fontId="0" fillId="0" borderId="0" xfId="0" applyBorder="1"/>
    <xf numFmtId="169" fontId="19" fillId="0" borderId="0" xfId="0" applyNumberFormat="1" applyFont="1"/>
    <xf numFmtId="4" fontId="19" fillId="0" borderId="0" xfId="0" applyNumberFormat="1" applyFont="1"/>
    <xf numFmtId="0" fontId="0" fillId="0" borderId="0" xfId="0" applyAlignment="1">
      <alignment horizontal="center"/>
    </xf>
    <xf numFmtId="4" fontId="18" fillId="0" borderId="0" xfId="0" applyNumberFormat="1" applyFont="1"/>
    <xf numFmtId="4" fontId="18" fillId="18" borderId="0" xfId="0" applyNumberFormat="1" applyFont="1" applyFill="1" applyAlignment="1">
      <alignment horizontal="center"/>
    </xf>
    <xf numFmtId="0" fontId="44" fillId="0" borderId="0" xfId="0" applyFont="1"/>
    <xf numFmtId="0" fontId="44" fillId="0" borderId="0" xfId="0" applyFont="1" applyBorder="1"/>
    <xf numFmtId="0" fontId="44" fillId="0" borderId="0" xfId="0" applyFont="1" applyFill="1" applyBorder="1"/>
    <xf numFmtId="0" fontId="12" fillId="0" borderId="0" xfId="0" applyFont="1"/>
    <xf numFmtId="169" fontId="0" fillId="0" borderId="0" xfId="0" applyNumberFormat="1"/>
    <xf numFmtId="4" fontId="19" fillId="0" borderId="0" xfId="0" applyNumberFormat="1" applyFont="1" applyAlignment="1">
      <alignment horizontal="center"/>
    </xf>
    <xf numFmtId="0" fontId="17" fillId="0" borderId="0" xfId="0" applyFont="1"/>
    <xf numFmtId="0" fontId="45" fillId="0" borderId="0" xfId="0" applyFont="1" applyBorder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2" applyFont="1"/>
    <xf numFmtId="9" fontId="0" fillId="0" borderId="0" xfId="3" applyFont="1"/>
    <xf numFmtId="0" fontId="46" fillId="0" borderId="0" xfId="0" applyFont="1"/>
    <xf numFmtId="4" fontId="12" fillId="0" borderId="0" xfId="0" applyNumberFormat="1" applyFont="1"/>
    <xf numFmtId="0" fontId="15" fillId="0" borderId="0" xfId="0" applyFont="1"/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3" fillId="2" borderId="0" xfId="1" applyNumberFormat="1" applyFont="1" applyFill="1" applyAlignment="1" applyProtection="1">
      <alignment horizontal="center"/>
    </xf>
    <xf numFmtId="0" fontId="7" fillId="2" borderId="0" xfId="0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3" fontId="10" fillId="2" borderId="1" xfId="0" applyNumberFormat="1" applyFont="1" applyFill="1" applyBorder="1" applyAlignment="1">
      <alignment horizontal="center"/>
    </xf>
    <xf numFmtId="3" fontId="10" fillId="2" borderId="2" xfId="0" applyNumberFormat="1" applyFont="1" applyFill="1" applyBorder="1" applyAlignment="1">
      <alignment horizontal="center"/>
    </xf>
    <xf numFmtId="3" fontId="10" fillId="2" borderId="7" xfId="0" applyNumberFormat="1" applyFont="1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3" fontId="10" fillId="2" borderId="10" xfId="0" applyNumberFormat="1" applyFont="1" applyFill="1" applyBorder="1" applyAlignment="1">
      <alignment horizontal="center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/>
    </xf>
    <xf numFmtId="0" fontId="20" fillId="7" borderId="14" xfId="0" applyFont="1" applyFill="1" applyBorder="1" applyAlignment="1">
      <alignment horizontal="center" vertical="center"/>
    </xf>
    <xf numFmtId="0" fontId="18" fillId="16" borderId="22" xfId="0" applyFont="1" applyFill="1" applyBorder="1" applyAlignment="1">
      <alignment horizontal="center"/>
    </xf>
    <xf numFmtId="0" fontId="18" fillId="16" borderId="23" xfId="0" applyFont="1" applyFill="1" applyBorder="1" applyAlignment="1">
      <alignment horizontal="center"/>
    </xf>
    <xf numFmtId="0" fontId="18" fillId="16" borderId="24" xfId="0" applyFont="1" applyFill="1" applyBorder="1" applyAlignment="1">
      <alignment horizontal="center"/>
    </xf>
  </cellXfs>
  <cellStyles count="4">
    <cellStyle name="Lien hypertexte" xfId="1" builtinId="8"/>
    <cellStyle name="Milliers" xfId="2" builtinId="3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409575</xdr:colOff>
      <xdr:row>0</xdr:row>
      <xdr:rowOff>85725</xdr:rowOff>
    </xdr:from>
    <xdr:to>
      <xdr:col>4</xdr:col>
      <xdr:colOff>371475</xdr:colOff>
      <xdr:row>3</xdr:row>
      <xdr:rowOff>64135</xdr:rowOff>
    </xdr:to>
    <xdr:pic>
      <xdr:nvPicPr>
        <xdr:cNvPr id="3" name="image2.pn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85725"/>
          <a:ext cx="533400" cy="549910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0</xdr:row>
      <xdr:rowOff>152400</xdr:rowOff>
    </xdr:from>
    <xdr:to>
      <xdr:col>4</xdr:col>
      <xdr:colOff>886460</xdr:colOff>
      <xdr:row>2</xdr:row>
      <xdr:rowOff>126365</xdr:rowOff>
    </xdr:to>
    <xdr:pic>
      <xdr:nvPicPr>
        <xdr:cNvPr id="4" name="image3.png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648450" y="152400"/>
          <a:ext cx="353060" cy="354965"/>
        </a:xfrm>
        <a:prstGeom prst="rect">
          <a:avLst/>
        </a:prstGeom>
      </xdr:spPr>
    </xdr:pic>
    <xdr:clientData/>
  </xdr:twoCellAnchor>
  <xdr:twoCellAnchor editAs="oneCell">
    <xdr:from>
      <xdr:col>4</xdr:col>
      <xdr:colOff>1133475</xdr:colOff>
      <xdr:row>0</xdr:row>
      <xdr:rowOff>85725</xdr:rowOff>
    </xdr:from>
    <xdr:to>
      <xdr:col>4</xdr:col>
      <xdr:colOff>1649730</xdr:colOff>
      <xdr:row>3</xdr:row>
      <xdr:rowOff>47625</xdr:rowOff>
    </xdr:to>
    <xdr:pic>
      <xdr:nvPicPr>
        <xdr:cNvPr id="5" name="image4.png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48525" y="85725"/>
          <a:ext cx="51625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76638</xdr:colOff>
      <xdr:row>0</xdr:row>
      <xdr:rowOff>54304</xdr:rowOff>
    </xdr:from>
    <xdr:to>
      <xdr:col>3</xdr:col>
      <xdr:colOff>248088</xdr:colOff>
      <xdr:row>5</xdr:row>
      <xdr:rowOff>111454</xdr:rowOff>
    </xdr:to>
    <xdr:pic>
      <xdr:nvPicPr>
        <xdr:cNvPr id="2" name="Picture 2" descr="Logo bleu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38" y="54304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3</xdr:col>
      <xdr:colOff>523875</xdr:colOff>
      <xdr:row>40</xdr:row>
      <xdr:rowOff>180975</xdr:rowOff>
    </xdr:from>
    <xdr:to>
      <xdr:col>6</xdr:col>
      <xdr:colOff>742945</xdr:colOff>
      <xdr:row>48</xdr:row>
      <xdr:rowOff>190500</xdr:rowOff>
    </xdr:to>
    <xdr:pic>
      <xdr:nvPicPr>
        <xdr:cNvPr id="3" name="Image 2" descr="C:\Users\h.hinni\Downloads\Capture d’écran 2024-11-26 151845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8172450"/>
          <a:ext cx="325754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9"/>
  <sheetViews>
    <sheetView tabSelected="1" topLeftCell="A7" workbookViewId="0">
      <selection activeCell="A25" sqref="A25:XFD25"/>
    </sheetView>
  </sheetViews>
  <sheetFormatPr baseColWidth="10" defaultRowHeight="15"/>
  <cols>
    <col min="1" max="1" width="15" bestFit="1" customWidth="1"/>
    <col min="2" max="2" width="39.140625" customWidth="1"/>
    <col min="3" max="3" width="29" customWidth="1"/>
    <col min="4" max="4" width="8.5703125" customWidth="1"/>
    <col min="5" max="5" width="29.5703125" customWidth="1"/>
  </cols>
  <sheetData>
    <row r="1" spans="1:5">
      <c r="A1" s="2"/>
      <c r="B1" s="2"/>
      <c r="C1" s="11"/>
      <c r="D1" s="11"/>
      <c r="E1" s="11"/>
    </row>
    <row r="2" spans="1:5">
      <c r="A2" s="2"/>
      <c r="B2" s="2"/>
      <c r="C2" s="11"/>
      <c r="D2" s="11"/>
      <c r="E2" s="11"/>
    </row>
    <row r="3" spans="1:5">
      <c r="A3" s="2"/>
      <c r="B3" s="2"/>
      <c r="C3" s="11"/>
      <c r="D3" s="11"/>
      <c r="E3" s="11"/>
    </row>
    <row r="4" spans="1:5">
      <c r="A4" s="2"/>
      <c r="B4" s="2"/>
      <c r="C4" s="11"/>
      <c r="D4" s="11"/>
      <c r="E4" s="11"/>
    </row>
    <row r="5" spans="1:5">
      <c r="A5" s="2"/>
      <c r="B5" s="2"/>
      <c r="C5" s="11"/>
      <c r="D5" s="11"/>
      <c r="E5" s="11"/>
    </row>
    <row r="6" spans="1:5">
      <c r="A6" s="2"/>
      <c r="B6" s="2"/>
      <c r="C6" s="11"/>
      <c r="D6" s="11"/>
      <c r="E6" s="11"/>
    </row>
    <row r="7" spans="1:5" ht="18.75">
      <c r="A7" s="2"/>
      <c r="B7" s="2"/>
      <c r="C7" s="31" t="s">
        <v>28</v>
      </c>
      <c r="D7" s="230" t="s">
        <v>33</v>
      </c>
      <c r="E7" s="230"/>
    </row>
    <row r="8" spans="1:5" ht="15.75">
      <c r="A8" s="2"/>
      <c r="B8" s="2"/>
      <c r="C8" s="25">
        <v>45853</v>
      </c>
      <c r="D8" s="1"/>
      <c r="E8" s="24" t="s">
        <v>26</v>
      </c>
    </row>
    <row r="9" spans="1:5">
      <c r="A9" s="2"/>
      <c r="B9" s="2"/>
      <c r="C9" s="8"/>
      <c r="D9" s="1"/>
      <c r="E9" s="11"/>
    </row>
    <row r="10" spans="1:5" ht="21">
      <c r="A10" s="2" t="s">
        <v>0</v>
      </c>
      <c r="B10" s="2" t="s">
        <v>29</v>
      </c>
      <c r="C10" s="238" t="s">
        <v>30</v>
      </c>
      <c r="D10" s="238"/>
      <c r="E10" s="238"/>
    </row>
    <row r="11" spans="1:5">
      <c r="A11" s="2" t="s">
        <v>1</v>
      </c>
      <c r="B11" s="20"/>
      <c r="C11" s="232"/>
      <c r="D11" s="232"/>
      <c r="E11" s="232"/>
    </row>
    <row r="12" spans="1:5">
      <c r="A12" s="2" t="s">
        <v>2</v>
      </c>
      <c r="B12" s="13"/>
      <c r="C12" s="232"/>
      <c r="D12" s="232"/>
      <c r="E12" s="232"/>
    </row>
    <row r="13" spans="1:5">
      <c r="A13" s="2" t="s">
        <v>3</v>
      </c>
      <c r="B13" s="21"/>
      <c r="C13" s="232"/>
      <c r="D13" s="232"/>
      <c r="E13" s="232"/>
    </row>
    <row r="14" spans="1:5">
      <c r="A14" s="2" t="s">
        <v>11</v>
      </c>
      <c r="B14" s="12" t="s">
        <v>31</v>
      </c>
      <c r="C14" s="232"/>
      <c r="D14" s="232"/>
      <c r="E14" s="232"/>
    </row>
    <row r="15" spans="1:5">
      <c r="A15" s="2" t="s">
        <v>4</v>
      </c>
      <c r="B15" s="12" t="s">
        <v>25</v>
      </c>
      <c r="C15" s="8"/>
      <c r="D15" s="1"/>
      <c r="E15" s="2"/>
    </row>
    <row r="16" spans="1:5">
      <c r="A16" s="2"/>
      <c r="B16" s="2"/>
      <c r="C16" s="8"/>
      <c r="D16" s="1"/>
      <c r="E16" s="2"/>
    </row>
    <row r="17" spans="1:5">
      <c r="A17" s="3" t="s">
        <v>5</v>
      </c>
      <c r="B17" s="4" t="s">
        <v>6</v>
      </c>
      <c r="C17" s="5" t="s">
        <v>7</v>
      </c>
      <c r="D17" s="6" t="s">
        <v>8</v>
      </c>
      <c r="E17" s="6" t="s">
        <v>9</v>
      </c>
    </row>
    <row r="18" spans="1:5" ht="15.75" customHeight="1">
      <c r="A18" s="236" t="s">
        <v>32</v>
      </c>
      <c r="B18" s="237"/>
      <c r="C18" s="32">
        <v>3000</v>
      </c>
      <c r="D18" s="27">
        <v>5.5</v>
      </c>
      <c r="E18" s="36">
        <f>+D18*C18</f>
        <v>16500</v>
      </c>
    </row>
    <row r="19" spans="1:5" ht="15.75" customHeight="1">
      <c r="A19" s="38"/>
      <c r="B19" s="39"/>
      <c r="C19" s="32"/>
      <c r="D19" s="27"/>
      <c r="E19" s="33"/>
    </row>
    <row r="20" spans="1:5" ht="15.75" customHeight="1">
      <c r="A20" s="240"/>
      <c r="B20" s="241"/>
      <c r="C20" s="32"/>
      <c r="D20" s="27"/>
      <c r="E20" s="36"/>
    </row>
    <row r="21" spans="1:5" ht="15.75" hidden="1">
      <c r="A21" s="28"/>
      <c r="B21" s="29"/>
      <c r="C21" s="16" t="s">
        <v>10</v>
      </c>
      <c r="D21" s="17"/>
      <c r="E21" s="34">
        <f>SUM(E18:E20)</f>
        <v>16500</v>
      </c>
    </row>
    <row r="22" spans="1:5" ht="15.75" hidden="1">
      <c r="A22" s="30"/>
      <c r="B22" s="26"/>
      <c r="C22" s="18" t="s">
        <v>24</v>
      </c>
      <c r="D22" s="19"/>
      <c r="E22" s="22">
        <v>0</v>
      </c>
    </row>
    <row r="23" spans="1:5" ht="15.75">
      <c r="A23" s="234"/>
      <c r="B23" s="235"/>
      <c r="C23" s="40" t="s">
        <v>34</v>
      </c>
      <c r="D23" s="41"/>
      <c r="E23" s="37">
        <f>+E21+E22</f>
        <v>16500</v>
      </c>
    </row>
    <row r="24" spans="1:5">
      <c r="A24" s="14"/>
      <c r="B24" s="14"/>
      <c r="C24" s="9"/>
      <c r="D24" s="9"/>
      <c r="E24" s="14"/>
    </row>
    <row r="25" spans="1:5" ht="219.75" customHeight="1">
      <c r="A25" s="14"/>
      <c r="B25" s="14"/>
      <c r="C25" s="9"/>
      <c r="D25" s="9"/>
      <c r="E25" s="14"/>
    </row>
    <row r="26" spans="1:5">
      <c r="A26" s="14"/>
      <c r="B26" s="14"/>
      <c r="C26" s="9"/>
      <c r="D26" s="9"/>
      <c r="E26" s="14"/>
    </row>
    <row r="27" spans="1:5">
      <c r="A27" s="14"/>
      <c r="B27" s="14"/>
      <c r="C27" s="9"/>
      <c r="D27" s="9"/>
      <c r="E27" s="14"/>
    </row>
    <row r="28" spans="1:5">
      <c r="A28" s="14"/>
      <c r="B28" s="14"/>
      <c r="C28" s="15"/>
      <c r="D28" s="7"/>
      <c r="E28" s="14"/>
    </row>
    <row r="29" spans="1:5">
      <c r="A29" s="239" t="s">
        <v>27</v>
      </c>
      <c r="B29" s="239"/>
      <c r="C29" s="239"/>
      <c r="D29" s="239"/>
      <c r="E29" s="239"/>
    </row>
    <row r="30" spans="1:5">
      <c r="A30" s="229" t="s">
        <v>12</v>
      </c>
      <c r="B30" s="229"/>
      <c r="C30" s="229"/>
      <c r="D30" s="229"/>
      <c r="E30" s="229"/>
    </row>
    <row r="31" spans="1:5">
      <c r="A31" s="35" t="s">
        <v>15</v>
      </c>
      <c r="B31" s="233" t="s">
        <v>16</v>
      </c>
      <c r="C31" s="233"/>
      <c r="D31" s="233"/>
      <c r="E31" s="233"/>
    </row>
    <row r="32" spans="1:5">
      <c r="A32" s="35" t="s">
        <v>17</v>
      </c>
      <c r="B32" s="233" t="s">
        <v>18</v>
      </c>
      <c r="C32" s="233"/>
      <c r="D32" s="233"/>
      <c r="E32" s="233"/>
    </row>
    <row r="33" spans="1:6">
      <c r="A33" s="35" t="s">
        <v>19</v>
      </c>
      <c r="B33" s="35" t="s">
        <v>20</v>
      </c>
      <c r="C33" s="35"/>
      <c r="D33" s="35"/>
      <c r="E33" s="35"/>
    </row>
    <row r="34" spans="1:6">
      <c r="A34" s="35" t="s">
        <v>21</v>
      </c>
      <c r="B34" s="35" t="s">
        <v>22</v>
      </c>
      <c r="C34" s="35"/>
      <c r="D34" s="35"/>
      <c r="E34" s="35"/>
    </row>
    <row r="35" spans="1:6">
      <c r="A35" s="229" t="s">
        <v>13</v>
      </c>
      <c r="B35" s="229"/>
      <c r="C35" s="229"/>
      <c r="D35" s="229"/>
      <c r="E35" s="229"/>
    </row>
    <row r="36" spans="1:6">
      <c r="A36" s="231" t="s">
        <v>14</v>
      </c>
      <c r="B36" s="231"/>
      <c r="C36" s="231"/>
      <c r="D36" s="231"/>
      <c r="E36" s="23" t="s">
        <v>23</v>
      </c>
    </row>
    <row r="37" spans="1:6">
      <c r="A37" s="10"/>
      <c r="B37" s="10"/>
      <c r="C37" s="10"/>
      <c r="D37" s="10"/>
      <c r="E37" s="10"/>
      <c r="F37" s="10"/>
    </row>
    <row r="38" spans="1:6">
      <c r="A38" s="10"/>
      <c r="B38" s="10"/>
      <c r="C38" s="10"/>
      <c r="D38" s="10"/>
      <c r="E38" s="10"/>
      <c r="F38" s="10"/>
    </row>
    <row r="39" spans="1:6">
      <c r="A39" s="10"/>
      <c r="B39" s="10"/>
      <c r="C39" s="10"/>
      <c r="D39" s="10"/>
      <c r="E39" s="10"/>
      <c r="F39" s="10"/>
    </row>
  </sheetData>
  <mergeCells count="13">
    <mergeCell ref="A30:E30"/>
    <mergeCell ref="D7:E7"/>
    <mergeCell ref="A36:D36"/>
    <mergeCell ref="C11:E12"/>
    <mergeCell ref="A35:E35"/>
    <mergeCell ref="B31:E31"/>
    <mergeCell ref="B32:E32"/>
    <mergeCell ref="C13:E14"/>
    <mergeCell ref="A23:B23"/>
    <mergeCell ref="A18:B18"/>
    <mergeCell ref="C10:E10"/>
    <mergeCell ref="A29:E29"/>
    <mergeCell ref="A20:B20"/>
  </mergeCells>
  <hyperlinks>
    <hyperlink ref="A36" r:id="rId1"/>
  </hyperlinks>
  <pageMargins left="0.70866141732283472" right="0.70866141732283472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workbookViewId="0">
      <selection activeCell="H13" sqref="H13:H14"/>
    </sheetView>
  </sheetViews>
  <sheetFormatPr baseColWidth="10" defaultRowHeight="15"/>
  <cols>
    <col min="5" max="5" width="21.42578125" customWidth="1"/>
    <col min="8" max="8" width="18.28515625" customWidth="1"/>
  </cols>
  <sheetData>
    <row r="1" spans="1:12">
      <c r="E1" s="42" t="s">
        <v>30</v>
      </c>
      <c r="F1" s="43"/>
    </row>
    <row r="2" spans="1:12">
      <c r="H2" s="44" t="s">
        <v>35</v>
      </c>
    </row>
    <row r="3" spans="1:12" ht="15.75">
      <c r="A3" s="45" t="s">
        <v>36</v>
      </c>
      <c r="B3" s="46">
        <v>1.38</v>
      </c>
      <c r="E3" s="47" t="s">
        <v>37</v>
      </c>
      <c r="F3" s="48">
        <f>+F4*0.85</f>
        <v>987.87</v>
      </c>
      <c r="K3" s="49" t="s">
        <v>38</v>
      </c>
      <c r="L3" s="49">
        <f>+F3</f>
        <v>987.87</v>
      </c>
    </row>
    <row r="4" spans="1:12" ht="15.75">
      <c r="A4" s="45" t="s">
        <v>39</v>
      </c>
      <c r="B4" s="46">
        <v>1.48</v>
      </c>
      <c r="E4" s="50" t="s">
        <v>40</v>
      </c>
      <c r="F4" s="51">
        <f>3000*0.3874</f>
        <v>1162.2</v>
      </c>
      <c r="G4">
        <f>+F4*0.85</f>
        <v>987.87</v>
      </c>
      <c r="K4" s="52" t="s">
        <v>41</v>
      </c>
      <c r="L4" s="52">
        <f>+H13+H14</f>
        <v>538.71568379446637</v>
      </c>
    </row>
    <row r="5" spans="1:12" ht="15.75">
      <c r="A5" s="45" t="s">
        <v>42</v>
      </c>
      <c r="B5" s="46">
        <v>1.32</v>
      </c>
      <c r="E5" s="50" t="s">
        <v>43</v>
      </c>
      <c r="F5" s="51">
        <f>+G4-G4*0.02</f>
        <v>968.11260000000004</v>
      </c>
      <c r="G5" s="53" t="s">
        <v>44</v>
      </c>
      <c r="K5" s="52" t="s">
        <v>45</v>
      </c>
      <c r="L5" s="52">
        <f>+H15</f>
        <v>180.07209486166008</v>
      </c>
    </row>
    <row r="6" spans="1:12">
      <c r="K6" s="52" t="s">
        <v>46</v>
      </c>
      <c r="L6" s="52">
        <f>+H16</f>
        <v>420.16822134387354</v>
      </c>
    </row>
    <row r="7" spans="1:12">
      <c r="K7" s="52"/>
      <c r="L7" s="52"/>
    </row>
    <row r="8" spans="1:12" ht="15.75" thickBot="1">
      <c r="L8" s="52"/>
    </row>
    <row r="9" spans="1:12" ht="19.5" thickBot="1">
      <c r="A9" s="242" t="s">
        <v>47</v>
      </c>
      <c r="B9" s="243"/>
      <c r="C9" s="243"/>
      <c r="D9" s="243"/>
      <c r="E9" s="243"/>
      <c r="F9" s="243"/>
      <c r="G9" s="243"/>
      <c r="H9" s="54"/>
      <c r="L9" s="49"/>
    </row>
    <row r="10" spans="1:12" ht="45">
      <c r="A10" s="55" t="s">
        <v>48</v>
      </c>
      <c r="B10" s="56" t="s">
        <v>49</v>
      </c>
      <c r="C10" s="56" t="s">
        <v>50</v>
      </c>
      <c r="D10" s="56" t="s">
        <v>51</v>
      </c>
      <c r="E10" s="57"/>
      <c r="F10" s="58" t="s">
        <v>52</v>
      </c>
      <c r="G10" s="59" t="s">
        <v>53</v>
      </c>
      <c r="H10" s="60" t="s">
        <v>54</v>
      </c>
    </row>
    <row r="11" spans="1:12">
      <c r="A11" s="61" t="s">
        <v>55</v>
      </c>
      <c r="B11" s="62" t="s">
        <v>56</v>
      </c>
      <c r="C11" s="63">
        <v>0</v>
      </c>
      <c r="D11" s="63"/>
      <c r="E11" s="64">
        <f>+C11</f>
        <v>0</v>
      </c>
      <c r="F11" s="65">
        <f>+E11/E17</f>
        <v>0</v>
      </c>
      <c r="G11" s="66">
        <f>+F11*F5</f>
        <v>0</v>
      </c>
      <c r="H11" s="67">
        <f t="shared" ref="H11:H16" si="0">+G11*100/85</f>
        <v>0</v>
      </c>
    </row>
    <row r="12" spans="1:12">
      <c r="A12" s="61" t="s">
        <v>57</v>
      </c>
      <c r="B12" s="62">
        <v>480419</v>
      </c>
      <c r="C12" s="63">
        <v>0</v>
      </c>
      <c r="D12" s="63"/>
      <c r="E12" s="64">
        <f>+C12</f>
        <v>0</v>
      </c>
      <c r="F12" s="65">
        <f>+E12/E17</f>
        <v>0</v>
      </c>
      <c r="G12" s="66">
        <f>+F5*F12</f>
        <v>0</v>
      </c>
      <c r="H12" s="67">
        <f t="shared" si="0"/>
        <v>0</v>
      </c>
    </row>
    <row r="13" spans="1:12">
      <c r="A13" s="68" t="s">
        <v>41</v>
      </c>
      <c r="B13" s="69" t="s">
        <v>58</v>
      </c>
      <c r="C13" s="70">
        <v>110</v>
      </c>
      <c r="D13" s="70" t="s">
        <v>36</v>
      </c>
      <c r="E13" s="71">
        <f>C13*B3</f>
        <v>151.79999999999998</v>
      </c>
      <c r="F13" s="65">
        <f>+E13/E17</f>
        <v>0.19999999999999998</v>
      </c>
      <c r="G13" s="66">
        <f>+F13*F5</f>
        <v>193.62251999999998</v>
      </c>
      <c r="H13" s="67">
        <f t="shared" si="0"/>
        <v>227.79119999999998</v>
      </c>
    </row>
    <row r="14" spans="1:12">
      <c r="A14" s="68" t="s">
        <v>41</v>
      </c>
      <c r="B14" s="69" t="s">
        <v>58</v>
      </c>
      <c r="C14" s="70">
        <v>140</v>
      </c>
      <c r="D14" s="70" t="s">
        <v>39</v>
      </c>
      <c r="E14" s="71">
        <f>C14*B4</f>
        <v>207.2</v>
      </c>
      <c r="F14" s="65">
        <f>+E14/E17</f>
        <v>0.27299077733860339</v>
      </c>
      <c r="G14" s="66">
        <f>+F5*F14</f>
        <v>264.28581122529641</v>
      </c>
      <c r="H14" s="67">
        <f t="shared" si="0"/>
        <v>310.92448379446637</v>
      </c>
    </row>
    <row r="15" spans="1:12">
      <c r="A15" s="72" t="s">
        <v>45</v>
      </c>
      <c r="B15" s="73" t="s">
        <v>59</v>
      </c>
      <c r="C15" s="74">
        <v>120</v>
      </c>
      <c r="D15" s="74"/>
      <c r="E15" s="75">
        <f>+C15</f>
        <v>120</v>
      </c>
      <c r="F15" s="65">
        <f>+E15/E17</f>
        <v>0.15810276679841898</v>
      </c>
      <c r="G15" s="66">
        <f>+F15*F5</f>
        <v>153.06128063241107</v>
      </c>
      <c r="H15" s="67">
        <f t="shared" si="0"/>
        <v>180.07209486166008</v>
      </c>
    </row>
    <row r="16" spans="1:12">
      <c r="A16" s="72" t="s">
        <v>46</v>
      </c>
      <c r="B16" s="73">
        <v>408411</v>
      </c>
      <c r="C16" s="74">
        <f>140+140</f>
        <v>280</v>
      </c>
      <c r="D16" s="74"/>
      <c r="E16" s="75">
        <f>+C16</f>
        <v>280</v>
      </c>
      <c r="F16" s="65">
        <f>+E16/E17</f>
        <v>0.3689064558629776</v>
      </c>
      <c r="G16" s="66">
        <f>+F16*F5</f>
        <v>357.1429881422925</v>
      </c>
      <c r="H16" s="67">
        <f t="shared" si="0"/>
        <v>420.16822134387354</v>
      </c>
    </row>
    <row r="17" spans="1:8" ht="16.5" thickBot="1">
      <c r="A17" s="244" t="s">
        <v>60</v>
      </c>
      <c r="B17" s="245"/>
      <c r="C17" s="245"/>
      <c r="D17" s="246"/>
      <c r="E17" s="76">
        <f>SUM(E11:E16)</f>
        <v>759</v>
      </c>
      <c r="F17" s="77">
        <f>SUM(F11:F16)</f>
        <v>1</v>
      </c>
      <c r="G17" s="78">
        <f>SUM(G11:G16)</f>
        <v>968.11259999999993</v>
      </c>
      <c r="H17" s="79">
        <f>SUM(H11:H16)</f>
        <v>1138.9559999999999</v>
      </c>
    </row>
  </sheetData>
  <mergeCells count="2">
    <mergeCell ref="A9:G9"/>
    <mergeCell ref="A17:D17"/>
  </mergeCells>
  <pageMargins left="0.23622047244094491" right="0.23622047244094491" top="0.74803149606299213" bottom="0.7480314960629921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3"/>
  <sheetViews>
    <sheetView workbookViewId="0">
      <selection activeCell="N14" sqref="N14:N16"/>
    </sheetView>
  </sheetViews>
  <sheetFormatPr baseColWidth="10" defaultRowHeight="15"/>
  <cols>
    <col min="3" max="3" width="13.85546875" customWidth="1"/>
    <col min="6" max="6" width="15.85546875" bestFit="1" customWidth="1"/>
    <col min="7" max="7" width="15.85546875" customWidth="1"/>
    <col min="8" max="8" width="14.85546875" customWidth="1"/>
    <col min="10" max="10" width="13.140625" customWidth="1"/>
    <col min="11" max="11" width="28.5703125" bestFit="1" customWidth="1"/>
    <col min="12" max="12" width="13.5703125" bestFit="1" customWidth="1"/>
  </cols>
  <sheetData>
    <row r="2" spans="1:14" ht="18.75">
      <c r="A2" s="102" t="s">
        <v>83</v>
      </c>
      <c r="B2" s="102"/>
      <c r="C2" s="102"/>
      <c r="D2" s="102"/>
      <c r="E2" s="102"/>
      <c r="F2" s="102"/>
      <c r="G2" s="102"/>
      <c r="H2" s="102"/>
      <c r="I2" s="103"/>
      <c r="J2" s="103"/>
      <c r="K2" s="102"/>
      <c r="L2" s="102" t="s">
        <v>84</v>
      </c>
      <c r="M2" s="104"/>
    </row>
    <row r="3" spans="1:14" ht="15.75">
      <c r="A3" s="90" t="s">
        <v>85</v>
      </c>
      <c r="B3" s="90"/>
      <c r="C3" s="90"/>
      <c r="D3" s="90"/>
      <c r="E3" s="105" t="s">
        <v>86</v>
      </c>
      <c r="F3" s="106"/>
      <c r="G3" s="107" t="s">
        <v>87</v>
      </c>
      <c r="H3" s="108"/>
      <c r="I3" s="109"/>
      <c r="J3" s="109"/>
      <c r="K3" s="110" t="s">
        <v>88</v>
      </c>
      <c r="L3" s="111" t="s">
        <v>89</v>
      </c>
      <c r="M3" s="112"/>
    </row>
    <row r="4" spans="1:14" ht="15.75">
      <c r="A4" s="90" t="s">
        <v>90</v>
      </c>
      <c r="B4" s="90"/>
      <c r="C4" s="113"/>
      <c r="D4" s="90" t="s">
        <v>91</v>
      </c>
      <c r="E4" s="114" t="s">
        <v>92</v>
      </c>
      <c r="F4" s="115"/>
      <c r="G4" s="107" t="s">
        <v>93</v>
      </c>
      <c r="H4" s="108"/>
      <c r="I4" s="109"/>
      <c r="J4" s="109"/>
      <c r="K4" s="110"/>
      <c r="L4" s="116"/>
      <c r="M4" s="117" t="s">
        <v>94</v>
      </c>
    </row>
    <row r="5" spans="1:14" ht="15.75">
      <c r="A5" s="118"/>
      <c r="B5" s="118" t="s">
        <v>95</v>
      </c>
      <c r="C5" s="118"/>
      <c r="D5" s="118"/>
      <c r="E5" s="118"/>
      <c r="F5" s="118"/>
      <c r="G5" s="118"/>
      <c r="H5" s="118"/>
      <c r="I5" s="119"/>
      <c r="J5" s="119"/>
      <c r="K5" s="118"/>
      <c r="L5" s="118"/>
      <c r="M5" s="118"/>
    </row>
    <row r="6" spans="1:14" ht="15.75">
      <c r="A6" s="110" t="s">
        <v>66</v>
      </c>
      <c r="B6" s="110"/>
      <c r="C6" s="110" t="s">
        <v>96</v>
      </c>
      <c r="D6" s="113" t="s">
        <v>97</v>
      </c>
      <c r="E6" s="120"/>
      <c r="F6" s="120"/>
      <c r="G6" s="110" t="s">
        <v>98</v>
      </c>
      <c r="H6" s="110"/>
      <c r="I6" s="121"/>
      <c r="J6" s="121"/>
      <c r="K6" s="110"/>
      <c r="L6" s="110"/>
      <c r="M6" s="122"/>
    </row>
    <row r="7" spans="1:14" ht="15.75">
      <c r="A7" s="110"/>
      <c r="B7" s="110"/>
      <c r="C7" s="110" t="s">
        <v>99</v>
      </c>
      <c r="D7" s="110"/>
      <c r="E7" s="110"/>
      <c r="F7" s="110"/>
      <c r="G7" s="110"/>
      <c r="H7" s="110"/>
      <c r="I7" s="109"/>
      <c r="J7" s="109"/>
      <c r="K7" s="118"/>
      <c r="L7" s="110"/>
      <c r="M7" s="122"/>
    </row>
    <row r="8" spans="1:14" ht="15.75">
      <c r="A8" s="118"/>
      <c r="B8" s="118"/>
      <c r="C8" s="110" t="s">
        <v>100</v>
      </c>
      <c r="D8" s="118"/>
      <c r="E8" s="118"/>
      <c r="F8" s="118"/>
      <c r="G8" s="119" t="s">
        <v>101</v>
      </c>
      <c r="H8" s="123" t="s">
        <v>30</v>
      </c>
      <c r="I8" s="124"/>
      <c r="J8" s="124"/>
      <c r="K8" s="81"/>
      <c r="L8" s="118"/>
      <c r="M8" s="125"/>
    </row>
    <row r="9" spans="1:14" ht="16.5" thickBot="1">
      <c r="A9" s="118"/>
      <c r="B9" s="118"/>
      <c r="C9" s="118"/>
      <c r="D9" s="118"/>
      <c r="E9" s="118"/>
      <c r="F9" s="118"/>
      <c r="G9" s="118"/>
      <c r="H9" s="90"/>
      <c r="I9" s="119"/>
      <c r="J9" s="119"/>
      <c r="K9" s="81"/>
      <c r="L9" s="118"/>
      <c r="M9" s="125"/>
    </row>
    <row r="10" spans="1:14" ht="15.75" thickTop="1">
      <c r="A10" s="126" t="s">
        <v>102</v>
      </c>
      <c r="B10" s="127" t="s">
        <v>103</v>
      </c>
      <c r="C10" s="128"/>
      <c r="D10" s="128"/>
      <c r="E10" s="128"/>
      <c r="F10" s="129"/>
      <c r="G10" s="127" t="s">
        <v>104</v>
      </c>
      <c r="H10" s="129"/>
      <c r="I10" s="130" t="s">
        <v>105</v>
      </c>
      <c r="J10" s="131"/>
      <c r="K10" s="128" t="s">
        <v>106</v>
      </c>
      <c r="L10" s="132"/>
    </row>
    <row r="11" spans="1:14">
      <c r="A11" s="133" t="s">
        <v>89</v>
      </c>
      <c r="B11" s="134" t="s">
        <v>107</v>
      </c>
      <c r="C11" s="135"/>
      <c r="D11" s="135"/>
      <c r="E11" s="135"/>
      <c r="F11" s="136"/>
      <c r="G11" s="134" t="s">
        <v>108</v>
      </c>
      <c r="H11" s="136"/>
      <c r="I11" s="137" t="s">
        <v>109</v>
      </c>
      <c r="J11" s="138"/>
      <c r="K11" s="135" t="s">
        <v>110</v>
      </c>
      <c r="L11" s="139"/>
    </row>
    <row r="12" spans="1:14">
      <c r="A12" s="133" t="s">
        <v>111</v>
      </c>
      <c r="B12" s="140" t="s">
        <v>112</v>
      </c>
      <c r="C12" s="140" t="s">
        <v>113</v>
      </c>
      <c r="D12" s="140" t="s">
        <v>114</v>
      </c>
      <c r="E12" s="140" t="s">
        <v>115</v>
      </c>
      <c r="F12" s="140" t="s">
        <v>116</v>
      </c>
      <c r="G12" s="140" t="s">
        <v>117</v>
      </c>
      <c r="H12" s="141" t="s">
        <v>118</v>
      </c>
      <c r="I12" s="142" t="s">
        <v>119</v>
      </c>
      <c r="J12" s="142"/>
      <c r="K12" s="143" t="s">
        <v>120</v>
      </c>
      <c r="L12" s="144" t="s">
        <v>121</v>
      </c>
    </row>
    <row r="13" spans="1:14">
      <c r="A13" s="145" t="s">
        <v>122</v>
      </c>
      <c r="B13" s="146" t="s">
        <v>123</v>
      </c>
      <c r="C13" s="146"/>
      <c r="D13" s="146"/>
      <c r="E13" s="146"/>
      <c r="F13" s="146"/>
      <c r="G13" s="147"/>
      <c r="H13" s="147"/>
      <c r="I13" s="148" t="s">
        <v>52</v>
      </c>
      <c r="J13" s="149"/>
      <c r="K13" s="150"/>
      <c r="L13" s="151" t="s">
        <v>124</v>
      </c>
    </row>
    <row r="14" spans="1:14" ht="15.75">
      <c r="A14" s="152"/>
      <c r="B14" s="153">
        <v>309</v>
      </c>
      <c r="C14" s="154">
        <v>45701</v>
      </c>
      <c r="D14" s="155" t="s">
        <v>132</v>
      </c>
      <c r="E14" s="156"/>
      <c r="F14" s="156" t="s">
        <v>125</v>
      </c>
      <c r="G14" s="156" t="s">
        <v>126</v>
      </c>
      <c r="H14" s="155">
        <v>4805190000</v>
      </c>
      <c r="I14" s="157">
        <v>0.15</v>
      </c>
      <c r="J14" s="158" t="s">
        <v>127</v>
      </c>
      <c r="K14" s="159">
        <v>539</v>
      </c>
      <c r="L14" s="160" t="s">
        <v>128</v>
      </c>
    </row>
    <row r="15" spans="1:14" ht="15.75">
      <c r="A15" s="161"/>
      <c r="B15" s="162"/>
      <c r="C15" s="163"/>
      <c r="D15" s="164"/>
      <c r="E15" s="165"/>
      <c r="F15" s="165"/>
      <c r="G15" s="165"/>
      <c r="H15" s="164"/>
      <c r="I15" s="166"/>
      <c r="J15" s="167" t="s">
        <v>129</v>
      </c>
      <c r="K15" s="168">
        <f>+K14*0.85</f>
        <v>458.15</v>
      </c>
      <c r="L15" s="169"/>
      <c r="N15" s="49"/>
    </row>
    <row r="16" spans="1:14" ht="15.75">
      <c r="A16" s="170"/>
      <c r="B16" s="171">
        <v>309</v>
      </c>
      <c r="C16" s="154">
        <v>45474</v>
      </c>
      <c r="D16" s="155" t="s">
        <v>130</v>
      </c>
      <c r="E16" s="156"/>
      <c r="F16" s="156" t="s">
        <v>125</v>
      </c>
      <c r="G16" s="156" t="s">
        <v>126</v>
      </c>
      <c r="H16" s="172">
        <v>4805249000</v>
      </c>
      <c r="I16" s="157">
        <v>0.15</v>
      </c>
      <c r="J16" s="158" t="s">
        <v>127</v>
      </c>
      <c r="K16" s="159">
        <v>180</v>
      </c>
      <c r="L16" s="160" t="s">
        <v>128</v>
      </c>
      <c r="N16" s="49"/>
    </row>
    <row r="17" spans="1:14" ht="15.75">
      <c r="A17" s="173"/>
      <c r="B17" s="162"/>
      <c r="C17" s="163"/>
      <c r="D17" s="164"/>
      <c r="E17" s="165"/>
      <c r="F17" s="165"/>
      <c r="G17" s="165"/>
      <c r="H17" s="164"/>
      <c r="I17" s="157"/>
      <c r="J17" s="158" t="s">
        <v>129</v>
      </c>
      <c r="K17" s="174">
        <f>+K16*0.85</f>
        <v>153</v>
      </c>
      <c r="L17" s="175"/>
      <c r="N17" s="49"/>
    </row>
    <row r="18" spans="1:14" ht="15.75">
      <c r="A18" s="176"/>
      <c r="B18" s="177">
        <v>309</v>
      </c>
      <c r="C18" s="178">
        <v>45720</v>
      </c>
      <c r="D18" s="179" t="s">
        <v>131</v>
      </c>
      <c r="E18" s="177"/>
      <c r="F18" s="177" t="s">
        <v>125</v>
      </c>
      <c r="G18" s="177" t="s">
        <v>126</v>
      </c>
      <c r="H18" s="179">
        <v>4804110000</v>
      </c>
      <c r="I18" s="180">
        <v>0.15</v>
      </c>
      <c r="J18" s="181" t="s">
        <v>127</v>
      </c>
      <c r="K18" s="182">
        <v>420</v>
      </c>
      <c r="L18" s="183" t="s">
        <v>128</v>
      </c>
      <c r="N18" s="49"/>
    </row>
    <row r="19" spans="1:14" ht="15.75">
      <c r="A19" s="184"/>
      <c r="B19" s="185"/>
      <c r="C19" s="186"/>
      <c r="D19" s="187"/>
      <c r="E19" s="185"/>
      <c r="F19" s="185"/>
      <c r="G19" s="185"/>
      <c r="H19" s="187"/>
      <c r="I19" s="188"/>
      <c r="J19" s="189" t="s">
        <v>129</v>
      </c>
      <c r="K19" s="190">
        <f>+K18*0.85</f>
        <v>357</v>
      </c>
      <c r="L19" s="191"/>
    </row>
    <row r="20" spans="1:14" ht="15.75">
      <c r="A20" s="184"/>
      <c r="B20" s="192"/>
      <c r="C20" s="193"/>
      <c r="D20" s="194"/>
      <c r="E20" s="192"/>
      <c r="F20" s="192"/>
      <c r="G20" s="192"/>
      <c r="H20" s="194"/>
      <c r="I20" s="195"/>
      <c r="J20" s="196"/>
      <c r="K20" s="197"/>
      <c r="L20" s="198"/>
      <c r="M20" s="199"/>
    </row>
    <row r="21" spans="1:14" ht="16.5" thickBot="1">
      <c r="A21" s="200"/>
      <c r="B21" s="201"/>
      <c r="C21" s="202"/>
      <c r="D21" s="203"/>
      <c r="E21" s="201"/>
      <c r="F21" s="201"/>
      <c r="G21" s="201"/>
      <c r="H21" s="203"/>
      <c r="I21" s="204"/>
      <c r="J21" s="205"/>
      <c r="K21" s="206"/>
      <c r="L21" s="207"/>
      <c r="M21" s="199"/>
    </row>
    <row r="22" spans="1:14" ht="16.5" thickTop="1">
      <c r="B22" s="208"/>
      <c r="C22" s="208"/>
      <c r="D22" s="53"/>
      <c r="E22" s="53"/>
      <c r="F22" s="53"/>
      <c r="G22" s="209"/>
      <c r="H22" s="210"/>
      <c r="I22" s="211"/>
      <c r="J22" s="211"/>
      <c r="K22" s="212"/>
      <c r="L22" s="199"/>
      <c r="M22" s="199"/>
    </row>
    <row r="23" spans="1:14" ht="15.75">
      <c r="B23" s="208"/>
      <c r="C23" s="208"/>
      <c r="D23" s="53"/>
      <c r="E23" s="53"/>
      <c r="F23" s="53"/>
      <c r="G23" s="209"/>
      <c r="H23" s="210"/>
      <c r="I23" s="211"/>
      <c r="J23" s="211"/>
      <c r="K23" s="212"/>
      <c r="L23" s="213">
        <f>+K15+K17+K19</f>
        <v>968.15</v>
      </c>
      <c r="M23" s="199"/>
    </row>
    <row r="24" spans="1:14" ht="15.75">
      <c r="A24" s="214"/>
      <c r="B24" s="215"/>
      <c r="C24" s="215"/>
      <c r="D24" s="216"/>
      <c r="E24" s="217"/>
      <c r="F24" s="216"/>
      <c r="G24" s="218"/>
      <c r="I24" s="211"/>
      <c r="J24" s="211"/>
      <c r="K24" s="81"/>
      <c r="L24" s="219"/>
      <c r="M24" s="199"/>
    </row>
    <row r="25" spans="1:14" ht="15.75">
      <c r="A25" s="220"/>
      <c r="B25" s="221"/>
      <c r="C25" s="221"/>
      <c r="D25" s="221"/>
      <c r="E25" s="221"/>
      <c r="F25" s="222"/>
      <c r="H25" s="223"/>
      <c r="I25" s="211"/>
      <c r="J25" s="211"/>
      <c r="K25" s="47" t="s">
        <v>37</v>
      </c>
      <c r="L25" s="48">
        <v>988</v>
      </c>
      <c r="M25" s="199"/>
      <c r="N25" s="49">
        <f>+L25-L23</f>
        <v>19.850000000000023</v>
      </c>
    </row>
    <row r="26" spans="1:14">
      <c r="A26" s="220"/>
      <c r="B26" s="221"/>
      <c r="C26" s="221"/>
      <c r="D26" s="221"/>
      <c r="E26" s="221"/>
      <c r="L26" s="224"/>
      <c r="N26" s="225">
        <f>+N25/L25</f>
        <v>2.0091093117408931E-2</v>
      </c>
    </row>
    <row r="27" spans="1:14" ht="15.75">
      <c r="A27" s="220"/>
      <c r="B27" s="226"/>
      <c r="C27" s="226"/>
      <c r="D27" s="226"/>
      <c r="E27" s="226"/>
      <c r="F27" s="49"/>
      <c r="K27" s="217"/>
      <c r="L27" s="227"/>
    </row>
    <row r="28" spans="1:14" ht="15.75">
      <c r="A28" s="220"/>
      <c r="D28" s="226"/>
      <c r="E28" s="226"/>
      <c r="K28" s="217"/>
      <c r="L28" s="227"/>
    </row>
    <row r="29" spans="1:14">
      <c r="A29" s="220"/>
      <c r="D29" s="226"/>
      <c r="E29" s="226"/>
      <c r="L29" s="225"/>
    </row>
    <row r="30" spans="1:14">
      <c r="A30" s="220"/>
      <c r="D30" s="226"/>
      <c r="E30" s="226"/>
    </row>
    <row r="31" spans="1:14">
      <c r="A31" s="220"/>
      <c r="D31" s="226"/>
      <c r="E31" s="226"/>
    </row>
    <row r="32" spans="1:14">
      <c r="A32" s="220"/>
      <c r="D32" s="226"/>
      <c r="E32" s="226"/>
    </row>
    <row r="33" spans="2:5">
      <c r="B33" s="228"/>
      <c r="C33" s="228"/>
      <c r="D33" s="228"/>
      <c r="E33" s="228"/>
    </row>
  </sheetData>
  <pageMargins left="0.25" right="0.25" top="0.75" bottom="0.75" header="0.3" footer="0.3"/>
  <pageSetup paperSize="9" scale="7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H68"/>
  <sheetViews>
    <sheetView topLeftCell="A19" workbookViewId="0">
      <selection activeCell="D37" sqref="D37"/>
    </sheetView>
  </sheetViews>
  <sheetFormatPr baseColWidth="10" defaultRowHeight="15"/>
  <cols>
    <col min="1" max="1" width="8" customWidth="1"/>
    <col min="3" max="3" width="25.7109375" customWidth="1"/>
    <col min="4" max="4" width="16.140625" customWidth="1"/>
    <col min="5" max="5" width="16.42578125" customWidth="1"/>
    <col min="6" max="6" width="13" bestFit="1" customWidth="1"/>
    <col min="7" max="7" width="17.28515625" customWidth="1"/>
    <col min="8" max="8" width="21.7109375" customWidth="1"/>
  </cols>
  <sheetData>
    <row r="7" spans="1:8" ht="18">
      <c r="A7" s="80"/>
      <c r="G7" s="81" t="s">
        <v>133</v>
      </c>
      <c r="H7" s="82"/>
    </row>
    <row r="8" spans="1:8" ht="18">
      <c r="A8" s="80"/>
    </row>
    <row r="9" spans="1:8">
      <c r="A9" s="83"/>
    </row>
    <row r="10" spans="1:8" ht="15.75">
      <c r="A10" s="81"/>
      <c r="B10" s="81"/>
      <c r="C10" s="81"/>
      <c r="D10" s="81"/>
      <c r="E10" s="81"/>
      <c r="F10" s="81"/>
      <c r="G10" s="81"/>
      <c r="H10" s="81"/>
    </row>
    <row r="11" spans="1:8" ht="15.75">
      <c r="A11" s="81"/>
      <c r="B11" s="84"/>
      <c r="C11" s="84"/>
      <c r="D11" s="84"/>
      <c r="E11" s="84"/>
      <c r="F11" s="84"/>
      <c r="G11" s="84"/>
      <c r="H11" s="84"/>
    </row>
    <row r="12" spans="1:8" ht="15.75">
      <c r="A12" s="81"/>
      <c r="B12" s="84"/>
      <c r="C12" s="84"/>
      <c r="D12" s="84"/>
      <c r="E12" s="84"/>
      <c r="F12" s="84"/>
      <c r="G12" s="84"/>
      <c r="H12" s="84"/>
    </row>
    <row r="13" spans="1:8" ht="15.75">
      <c r="A13" s="81"/>
      <c r="B13" s="84"/>
      <c r="C13" s="84"/>
      <c r="D13" s="84"/>
      <c r="E13" s="84"/>
      <c r="F13" s="84" t="s">
        <v>61</v>
      </c>
      <c r="G13" s="84"/>
      <c r="H13" s="84"/>
    </row>
    <row r="14" spans="1:8" ht="15.75">
      <c r="A14" s="81"/>
      <c r="B14" s="84"/>
      <c r="C14" s="84"/>
      <c r="D14" s="84"/>
      <c r="E14" s="84"/>
      <c r="F14" s="84" t="s">
        <v>62</v>
      </c>
      <c r="G14" s="84"/>
      <c r="H14" s="84"/>
    </row>
    <row r="15" spans="1:8" ht="15.75">
      <c r="A15" s="81"/>
      <c r="B15" s="84"/>
      <c r="C15" s="84"/>
      <c r="D15" s="84"/>
      <c r="E15" s="84"/>
      <c r="F15" s="84"/>
      <c r="G15" s="84"/>
      <c r="H15" s="84"/>
    </row>
    <row r="16" spans="1:8" ht="15.75">
      <c r="A16" s="81"/>
      <c r="B16" s="84"/>
      <c r="C16" s="84"/>
      <c r="D16" s="84"/>
      <c r="E16" s="84"/>
      <c r="F16" s="84"/>
      <c r="G16" s="84"/>
      <c r="H16" s="84"/>
    </row>
    <row r="17" spans="1:8" ht="15.75">
      <c r="A17" s="81"/>
      <c r="B17" s="84"/>
      <c r="C17" s="84"/>
      <c r="D17" s="84"/>
      <c r="E17" s="84"/>
      <c r="F17" s="84"/>
      <c r="G17" s="84"/>
      <c r="H17" s="84"/>
    </row>
    <row r="18" spans="1:8" ht="15.75">
      <c r="A18" s="81"/>
      <c r="B18" s="84"/>
      <c r="C18" s="84"/>
      <c r="D18" s="84"/>
      <c r="E18" s="84"/>
      <c r="F18" s="84"/>
      <c r="G18" s="84"/>
      <c r="H18" s="84"/>
    </row>
    <row r="19" spans="1:8" ht="15.75">
      <c r="A19" s="85"/>
      <c r="B19" s="86" t="s">
        <v>63</v>
      </c>
      <c r="C19" s="84" t="s">
        <v>64</v>
      </c>
      <c r="D19" s="84"/>
      <c r="E19" s="84"/>
      <c r="F19" s="84"/>
      <c r="G19" s="84"/>
      <c r="H19" s="84"/>
    </row>
    <row r="20" spans="1:8" ht="15.75">
      <c r="A20" s="81" t="s">
        <v>65</v>
      </c>
      <c r="B20" s="84"/>
      <c r="C20" s="84"/>
      <c r="D20" s="84"/>
      <c r="E20" s="84"/>
      <c r="F20" s="84"/>
      <c r="G20" s="84"/>
      <c r="H20" s="84"/>
    </row>
    <row r="21" spans="1:8" ht="15.75">
      <c r="A21" s="81"/>
      <c r="B21" s="84"/>
      <c r="C21" s="84"/>
      <c r="D21" s="84"/>
      <c r="E21" s="84"/>
      <c r="F21" s="84"/>
      <c r="G21" s="84"/>
      <c r="H21" s="84"/>
    </row>
    <row r="22" spans="1:8" ht="15.75">
      <c r="A22" s="81" t="s">
        <v>66</v>
      </c>
      <c r="B22" s="84"/>
      <c r="C22" s="84"/>
      <c r="D22" s="84"/>
      <c r="E22" s="84"/>
      <c r="F22" s="84"/>
      <c r="G22" s="84"/>
      <c r="H22" s="84"/>
    </row>
    <row r="23" spans="1:8" ht="15.75">
      <c r="A23" s="81"/>
      <c r="B23" s="87" t="s">
        <v>67</v>
      </c>
      <c r="C23" s="84"/>
      <c r="D23" s="84"/>
      <c r="E23" s="84"/>
      <c r="F23" s="84"/>
      <c r="G23" s="84"/>
      <c r="H23" s="84"/>
    </row>
    <row r="24" spans="1:8" ht="15.75">
      <c r="A24" s="81"/>
      <c r="B24" s="87"/>
      <c r="C24" s="84"/>
      <c r="D24" s="84"/>
      <c r="E24" s="84"/>
      <c r="F24" s="84"/>
      <c r="G24" s="84"/>
      <c r="H24" s="84"/>
    </row>
    <row r="25" spans="1:8" ht="15.75">
      <c r="A25" s="81"/>
      <c r="B25" s="84"/>
      <c r="C25" s="88" t="s">
        <v>68</v>
      </c>
      <c r="D25" s="84" t="s">
        <v>30</v>
      </c>
      <c r="E25" s="84"/>
      <c r="F25" s="84"/>
      <c r="G25" s="84"/>
      <c r="H25" s="84"/>
    </row>
    <row r="26" spans="1:8" ht="15.75">
      <c r="A26" s="81"/>
      <c r="B26" s="84"/>
      <c r="C26" s="88" t="s">
        <v>69</v>
      </c>
      <c r="D26" s="84" t="s">
        <v>70</v>
      </c>
      <c r="E26" s="84"/>
      <c r="F26" s="84"/>
      <c r="G26" s="84"/>
      <c r="H26" s="84"/>
    </row>
    <row r="27" spans="1:8" ht="15.75">
      <c r="A27" s="81"/>
      <c r="B27" s="84"/>
      <c r="C27" s="88"/>
      <c r="D27" s="84"/>
      <c r="E27" s="84"/>
      <c r="F27" s="84"/>
      <c r="G27" s="84"/>
      <c r="H27" s="84"/>
    </row>
    <row r="28" spans="1:8" ht="15.75">
      <c r="A28" s="81"/>
      <c r="B28" s="84"/>
      <c r="C28" s="88"/>
      <c r="D28" s="84"/>
      <c r="E28" s="84"/>
      <c r="F28" s="84"/>
      <c r="G28" s="84"/>
      <c r="H28" s="84"/>
    </row>
    <row r="29" spans="1:8" ht="15.75">
      <c r="A29" s="81"/>
      <c r="B29" s="87"/>
      <c r="C29" s="84"/>
      <c r="D29" s="84"/>
      <c r="E29" s="84"/>
      <c r="F29" s="84"/>
      <c r="G29" s="84"/>
      <c r="H29" s="84"/>
    </row>
    <row r="30" spans="1:8" ht="15.75">
      <c r="A30" s="81"/>
      <c r="B30" s="87"/>
      <c r="C30" s="84"/>
      <c r="D30" s="84"/>
      <c r="E30" s="84"/>
      <c r="F30" s="84"/>
      <c r="G30" s="84"/>
      <c r="H30" s="84"/>
    </row>
    <row r="31" spans="1:8" ht="15.75">
      <c r="A31" s="81"/>
      <c r="B31" s="87" t="s">
        <v>71</v>
      </c>
      <c r="C31" s="84"/>
      <c r="D31" s="84"/>
      <c r="E31" s="84"/>
      <c r="F31" s="84"/>
      <c r="G31" s="84"/>
      <c r="H31" s="84"/>
    </row>
    <row r="32" spans="1:8" ht="15.75">
      <c r="A32" s="81"/>
      <c r="B32" s="87" t="s">
        <v>72</v>
      </c>
      <c r="C32" s="84"/>
      <c r="D32" s="84"/>
      <c r="E32" s="84"/>
      <c r="F32" s="84"/>
      <c r="G32" s="84"/>
      <c r="H32" s="84"/>
    </row>
    <row r="33" spans="1:8" ht="15.75">
      <c r="A33" s="81"/>
      <c r="B33" s="87"/>
      <c r="C33" s="84"/>
      <c r="D33" s="87"/>
      <c r="E33" s="87"/>
      <c r="F33" s="87"/>
      <c r="G33" s="87"/>
      <c r="H33" s="84"/>
    </row>
    <row r="34" spans="1:8" ht="15.75">
      <c r="A34" s="81"/>
      <c r="B34" s="84"/>
      <c r="C34" s="84"/>
      <c r="D34" s="87"/>
      <c r="E34" s="87"/>
      <c r="F34" s="87"/>
      <c r="G34" s="84"/>
      <c r="H34" s="84"/>
    </row>
    <row r="35" spans="1:8" ht="15.75">
      <c r="A35" s="81"/>
      <c r="B35" s="84"/>
      <c r="E35" s="84"/>
      <c r="F35" s="89"/>
      <c r="G35" s="84"/>
      <c r="H35" s="84"/>
    </row>
    <row r="36" spans="1:8" ht="15.75">
      <c r="A36" s="81"/>
      <c r="B36" s="84"/>
      <c r="C36" s="84" t="s">
        <v>73</v>
      </c>
      <c r="D36" s="84" t="s">
        <v>134</v>
      </c>
      <c r="E36" s="84"/>
      <c r="F36" s="84"/>
      <c r="G36" s="84"/>
      <c r="H36" s="84"/>
    </row>
    <row r="37" spans="1:8" ht="15.75">
      <c r="A37" s="81"/>
      <c r="B37" s="84"/>
      <c r="C37" s="84" t="s">
        <v>73</v>
      </c>
      <c r="D37" s="84" t="s">
        <v>74</v>
      </c>
      <c r="E37" s="84"/>
      <c r="F37" s="89"/>
      <c r="G37" s="84"/>
      <c r="H37" s="84"/>
    </row>
    <row r="38" spans="1:8" ht="15.75">
      <c r="A38" s="81" t="s">
        <v>66</v>
      </c>
      <c r="B38" s="84"/>
      <c r="C38" s="84" t="s">
        <v>73</v>
      </c>
      <c r="D38" s="84" t="s">
        <v>75</v>
      </c>
      <c r="E38" s="84"/>
      <c r="F38" s="84"/>
      <c r="G38" s="84"/>
      <c r="H38" s="84"/>
    </row>
    <row r="39" spans="1:8" ht="15.75">
      <c r="A39" s="81"/>
      <c r="B39" s="84"/>
      <c r="C39" s="84"/>
      <c r="D39" s="84"/>
      <c r="E39" s="84"/>
      <c r="F39" s="84"/>
      <c r="G39" s="84"/>
      <c r="H39" s="84"/>
    </row>
    <row r="40" spans="1:8" ht="15.75">
      <c r="A40" s="81"/>
      <c r="B40" s="87" t="s">
        <v>76</v>
      </c>
      <c r="C40" s="84"/>
      <c r="D40" s="84"/>
      <c r="E40" s="84"/>
      <c r="F40" s="84"/>
      <c r="G40" s="84"/>
      <c r="H40" s="84"/>
    </row>
    <row r="41" spans="1:8" ht="15.75">
      <c r="A41" s="81"/>
      <c r="B41" s="81"/>
      <c r="C41" s="81"/>
      <c r="D41" s="81"/>
      <c r="E41" s="81"/>
      <c r="F41" s="81"/>
      <c r="G41" s="81"/>
      <c r="H41" s="90"/>
    </row>
    <row r="42" spans="1:8" ht="15.75">
      <c r="A42" s="81"/>
      <c r="B42" s="91"/>
      <c r="C42" s="90"/>
      <c r="D42" s="81"/>
      <c r="E42" s="81"/>
      <c r="F42" s="81"/>
      <c r="G42" s="81"/>
      <c r="H42" s="90"/>
    </row>
    <row r="43" spans="1:8" ht="15.75">
      <c r="A43" s="81"/>
      <c r="B43" s="91"/>
      <c r="C43" s="90"/>
      <c r="D43" s="81"/>
      <c r="E43" s="81"/>
      <c r="F43" s="81"/>
      <c r="G43" s="81"/>
      <c r="H43" s="90"/>
    </row>
    <row r="44" spans="1:8" ht="15.75">
      <c r="A44" s="81"/>
      <c r="B44" s="91"/>
      <c r="C44" s="90"/>
      <c r="D44" s="81"/>
      <c r="E44" s="81"/>
      <c r="F44" s="81"/>
      <c r="G44" s="81"/>
      <c r="H44" s="90"/>
    </row>
    <row r="45" spans="1:8" ht="15.75">
      <c r="A45" s="81"/>
      <c r="B45" s="91"/>
      <c r="C45" s="81"/>
      <c r="D45" s="81"/>
      <c r="E45" s="81"/>
      <c r="F45" s="81"/>
      <c r="G45" s="81"/>
      <c r="H45" s="81"/>
    </row>
    <row r="46" spans="1:8" ht="15.75">
      <c r="A46" s="81"/>
      <c r="B46" s="81"/>
      <c r="C46" s="81"/>
      <c r="D46" s="81"/>
      <c r="E46" s="81"/>
      <c r="F46" s="81"/>
      <c r="G46" s="81"/>
      <c r="H46" s="81"/>
    </row>
    <row r="47" spans="1:8" ht="15.75">
      <c r="A47" s="81"/>
      <c r="B47" s="81"/>
      <c r="C47" s="81"/>
      <c r="D47" s="81"/>
      <c r="E47" s="81"/>
      <c r="F47" s="81"/>
      <c r="G47" s="81"/>
      <c r="H47" s="81"/>
    </row>
    <row r="48" spans="1:8" ht="15.75">
      <c r="A48" s="81"/>
      <c r="B48" s="81"/>
      <c r="C48" s="81"/>
      <c r="D48" s="81"/>
      <c r="E48" s="81"/>
      <c r="F48" s="81"/>
      <c r="G48" s="81"/>
      <c r="H48" s="81"/>
    </row>
    <row r="49" spans="1:8" ht="15.75">
      <c r="A49" s="81"/>
      <c r="B49" s="81"/>
      <c r="C49" s="81"/>
      <c r="D49" s="81"/>
      <c r="E49" s="81"/>
      <c r="F49" s="81"/>
      <c r="G49" s="81"/>
      <c r="H49" s="81"/>
    </row>
    <row r="50" spans="1:8" ht="15.75">
      <c r="A50" s="81"/>
      <c r="B50" s="81"/>
      <c r="C50" s="81"/>
      <c r="D50" s="81"/>
      <c r="E50" s="81"/>
      <c r="F50" s="81"/>
      <c r="G50" s="81"/>
      <c r="H50" s="81"/>
    </row>
    <row r="51" spans="1:8" ht="16.5" thickBot="1">
      <c r="A51" s="81"/>
      <c r="B51" s="81"/>
      <c r="C51" s="81"/>
      <c r="D51" s="81"/>
      <c r="E51" s="81"/>
      <c r="F51" s="81"/>
      <c r="G51" s="81"/>
      <c r="H51" s="81"/>
    </row>
    <row r="52" spans="1:8" ht="16.5">
      <c r="A52" s="92" t="s">
        <v>77</v>
      </c>
      <c r="B52" s="93"/>
      <c r="C52" s="94"/>
      <c r="D52" s="94"/>
      <c r="E52" s="95"/>
      <c r="F52" s="95"/>
      <c r="G52" s="95"/>
      <c r="H52" s="96"/>
    </row>
    <row r="53" spans="1:8" ht="16.5">
      <c r="A53" s="97" t="s">
        <v>78</v>
      </c>
      <c r="E53" s="98"/>
      <c r="F53" s="98"/>
      <c r="G53" s="98"/>
      <c r="H53" s="99"/>
    </row>
    <row r="54" spans="1:8" ht="16.5">
      <c r="A54" s="100" t="s">
        <v>79</v>
      </c>
      <c r="E54" s="98"/>
      <c r="F54" s="98"/>
      <c r="G54" s="98"/>
      <c r="H54" s="99"/>
    </row>
    <row r="55" spans="1:8" ht="16.5">
      <c r="A55" s="100" t="s">
        <v>80</v>
      </c>
      <c r="E55" s="98"/>
      <c r="F55" s="98"/>
      <c r="G55" s="98"/>
      <c r="H55" s="99"/>
    </row>
    <row r="56" spans="1:8" ht="16.5">
      <c r="A56" s="101" t="s">
        <v>81</v>
      </c>
      <c r="E56" s="98"/>
      <c r="F56" s="98"/>
      <c r="G56" s="98"/>
      <c r="H56" s="99"/>
    </row>
    <row r="57" spans="1:8" ht="16.5">
      <c r="A57" s="101" t="s">
        <v>82</v>
      </c>
      <c r="E57" s="98"/>
      <c r="F57" s="98"/>
      <c r="G57" s="98"/>
      <c r="H57" s="99"/>
    </row>
    <row r="58" spans="1:8" ht="16.5">
      <c r="A58" s="81"/>
      <c r="B58" s="99"/>
      <c r="C58" s="81"/>
      <c r="D58" s="81"/>
      <c r="E58" s="81"/>
      <c r="F58" s="81"/>
      <c r="G58" s="81"/>
      <c r="H58" s="81"/>
    </row>
    <row r="59" spans="1:8" ht="16.5">
      <c r="A59" s="81"/>
      <c r="B59" s="99"/>
      <c r="C59" s="81"/>
      <c r="D59" s="81"/>
      <c r="E59" s="81"/>
      <c r="F59" s="81"/>
      <c r="G59" s="81"/>
      <c r="H59" s="81"/>
    </row>
    <row r="60" spans="1:8" ht="15.75">
      <c r="A60" s="81"/>
      <c r="B60" s="81"/>
      <c r="C60" s="81"/>
      <c r="D60" s="81"/>
      <c r="E60" s="81"/>
      <c r="F60" s="81"/>
      <c r="G60" s="81"/>
      <c r="H60" s="81"/>
    </row>
    <row r="61" spans="1:8" ht="15.75">
      <c r="A61" s="81"/>
      <c r="B61" s="81"/>
      <c r="C61" s="81"/>
      <c r="D61" s="81"/>
      <c r="E61" s="81"/>
      <c r="F61" s="81"/>
      <c r="G61" s="81"/>
      <c r="H61" s="81"/>
    </row>
    <row r="62" spans="1:8" ht="15.75">
      <c r="A62" s="81"/>
      <c r="B62" s="81"/>
      <c r="C62" s="81"/>
      <c r="D62" s="81"/>
      <c r="E62" s="81"/>
      <c r="F62" s="81"/>
      <c r="G62" s="81"/>
      <c r="H62" s="81"/>
    </row>
    <row r="63" spans="1:8" ht="15.75">
      <c r="A63" s="81"/>
      <c r="B63" s="81"/>
      <c r="C63" s="81"/>
      <c r="D63" s="81"/>
      <c r="E63" s="81"/>
      <c r="F63" s="81"/>
      <c r="G63" s="81"/>
      <c r="H63" s="81"/>
    </row>
    <row r="64" spans="1:8" ht="15.75">
      <c r="A64" s="81"/>
      <c r="B64" s="81"/>
      <c r="C64" s="81"/>
      <c r="D64" s="81"/>
      <c r="E64" s="81"/>
      <c r="F64" s="81"/>
      <c r="G64" s="81"/>
      <c r="H64" s="81"/>
    </row>
    <row r="65" spans="1:8" ht="15.75">
      <c r="A65" s="81"/>
      <c r="B65" s="81"/>
      <c r="C65" s="81"/>
      <c r="D65" s="81"/>
      <c r="E65" s="81"/>
      <c r="F65" s="81"/>
      <c r="G65" s="81"/>
      <c r="H65" s="81"/>
    </row>
    <row r="66" spans="1:8" ht="15.75">
      <c r="A66" s="81"/>
      <c r="B66" s="81"/>
      <c r="C66" s="81"/>
      <c r="D66" s="81"/>
      <c r="E66" s="81"/>
      <c r="F66" s="81"/>
      <c r="G66" s="81"/>
      <c r="H66" s="81"/>
    </row>
    <row r="67" spans="1:8" ht="15.75">
      <c r="B67" s="81"/>
    </row>
    <row r="68" spans="1:8" ht="15.75">
      <c r="B68" s="81"/>
    </row>
  </sheetData>
  <pageMargins left="0.25" right="0.25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FACTURE</vt:lpstr>
      <vt:lpstr>CALCUL </vt:lpstr>
      <vt:lpstr>FICHE </vt:lpstr>
      <vt:lpstr>ATT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Ibtissame EL AKKAD</dc:creator>
  <cp:lastModifiedBy>Houda HINNI</cp:lastModifiedBy>
  <cp:lastPrinted>2025-07-15T11:06:07Z</cp:lastPrinted>
  <dcterms:created xsi:type="dcterms:W3CDTF">2022-01-07T11:03:27Z</dcterms:created>
  <dcterms:modified xsi:type="dcterms:W3CDTF">2025-07-18T13:54:30Z</dcterms:modified>
</cp:coreProperties>
</file>